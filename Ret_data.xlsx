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" sheetId="1" r:id="rId4"/>
    <sheet state="visible" name="Safety" sheetId="2" r:id="rId5"/>
    <sheet state="visible" name="Health" sheetId="3" r:id="rId6"/>
    <sheet state="visible" name="Political" sheetId="4" r:id="rId7"/>
    <sheet state="visible" name="Pollution" sheetId="5" r:id="rId8"/>
    <sheet state="visible" name="Climate" sheetId="6" r:id="rId9"/>
    <sheet state="visible" name="English" sheetId="7" r:id="rId10"/>
    <sheet state="visible" name="Openness" sheetId="8" r:id="rId11"/>
    <sheet state="visible" name="Scenic" sheetId="9" r:id="rId12"/>
    <sheet state="visible" name="Disaster" sheetId="10" r:id="rId13"/>
    <sheet state="visible" name="CGT" sheetId="11" r:id="rId14"/>
    <sheet state="visible" name="Sheet1" sheetId="12" r:id="rId15"/>
    <sheet state="visible" name="Sheet2" sheetId="13" r:id="rId16"/>
  </sheets>
  <definedNames/>
  <calcPr/>
  <extLst>
    <ext uri="GoogleSheetsCustomDataVersion2">
      <go:sheetsCustomData xmlns:go="http://customooxmlschemas.google.com/" r:id="rId17" roundtripDataChecksum="LVCBWIHk9cJCnV/UtjoYxtHsx0ohAaIjNArHmn+CXOU="/>
    </ext>
  </extLst>
</workbook>
</file>

<file path=xl/sharedStrings.xml><?xml version="1.0" encoding="utf-8"?>
<sst xmlns="http://schemas.openxmlformats.org/spreadsheetml/2006/main" count="1949" uniqueCount="499">
  <si>
    <t>Country</t>
  </si>
  <si>
    <t>Sal_2025</t>
  </si>
  <si>
    <t>Cost of Living</t>
  </si>
  <si>
    <t>Safety</t>
  </si>
  <si>
    <t>Healthcare</t>
  </si>
  <si>
    <t>Political Stability</t>
  </si>
  <si>
    <t>Pollution</t>
  </si>
  <si>
    <t>Climate</t>
  </si>
  <si>
    <t>English Proficiency</t>
  </si>
  <si>
    <t>Openness</t>
  </si>
  <si>
    <t>Natural Scenery</t>
  </si>
  <si>
    <t>Natural Disaster</t>
  </si>
  <si>
    <t>Switzerland</t>
  </si>
  <si>
    <t>Luxembourg</t>
  </si>
  <si>
    <t>United States</t>
  </si>
  <si>
    <t>Singapore</t>
  </si>
  <si>
    <t>Iceland</t>
  </si>
  <si>
    <t>Denmark</t>
  </si>
  <si>
    <t>Australia</t>
  </si>
  <si>
    <t>Hong Kong (China)</t>
  </si>
  <si>
    <t>Netherlands</t>
  </si>
  <si>
    <t>Norway</t>
  </si>
  <si>
    <t>United Kingdom</t>
  </si>
  <si>
    <t>United Arab Emirates</t>
  </si>
  <si>
    <t>New Zealand</t>
  </si>
  <si>
    <t>Ireland</t>
  </si>
  <si>
    <t>Qatar</t>
  </si>
  <si>
    <t>Israel</t>
  </si>
  <si>
    <t>Germany</t>
  </si>
  <si>
    <t>Sweden</t>
  </si>
  <si>
    <t>Canada</t>
  </si>
  <si>
    <t>Finland</t>
  </si>
  <si>
    <t>Bahrain</t>
  </si>
  <si>
    <t>Belgium</t>
  </si>
  <si>
    <t>Austria</t>
  </si>
  <si>
    <t>France</t>
  </si>
  <si>
    <t>Kuwait</t>
  </si>
  <si>
    <t>South Korea</t>
  </si>
  <si>
    <t>Puerto Rico</t>
  </si>
  <si>
    <t>Saudi Arabia</t>
  </si>
  <si>
    <t>Japan</t>
  </si>
  <si>
    <t>Oman</t>
  </si>
  <si>
    <t>Spain</t>
  </si>
  <si>
    <t>Cyprus</t>
  </si>
  <si>
    <t>Italy</t>
  </si>
  <si>
    <t>Czech Republic</t>
  </si>
  <si>
    <t>Slovenia</t>
  </si>
  <si>
    <t>Estonia</t>
  </si>
  <si>
    <t>Taiwan</t>
  </si>
  <si>
    <t>Poland</t>
  </si>
  <si>
    <t>Malta</t>
  </si>
  <si>
    <t>Croatia</t>
  </si>
  <si>
    <t>Lithuania</t>
  </si>
  <si>
    <t>South Africa</t>
  </si>
  <si>
    <t>Slovakia</t>
  </si>
  <si>
    <t>Latvia</t>
  </si>
  <si>
    <t>Portugal</t>
  </si>
  <si>
    <t>Bulgaria</t>
  </si>
  <si>
    <t>Hungary</t>
  </si>
  <si>
    <t>China</t>
  </si>
  <si>
    <t>Romania</t>
  </si>
  <si>
    <t>Malaysia</t>
  </si>
  <si>
    <t>Greece</t>
  </si>
  <si>
    <t>Uruguay</t>
  </si>
  <si>
    <t>Costa Rica</t>
  </si>
  <si>
    <t>Chile</t>
  </si>
  <si>
    <t>Panama</t>
  </si>
  <si>
    <t>Montenegro</t>
  </si>
  <si>
    <t>Trinidad And Tobago</t>
  </si>
  <si>
    <t>Serbia</t>
  </si>
  <si>
    <t>Mexico</t>
  </si>
  <si>
    <t>India</t>
  </si>
  <si>
    <t>Russia</t>
  </si>
  <si>
    <t>Turkey</t>
  </si>
  <si>
    <t>Bosnia And Herzegovina</t>
  </si>
  <si>
    <t>Mauritius</t>
  </si>
  <si>
    <t>Jordan</t>
  </si>
  <si>
    <t>North Macedonia</t>
  </si>
  <si>
    <t>Albania</t>
  </si>
  <si>
    <t>Moldova</t>
  </si>
  <si>
    <t>Kazakhstan</t>
  </si>
  <si>
    <t>Thailand</t>
  </si>
  <si>
    <t>Belarus</t>
  </si>
  <si>
    <t>Lebanon</t>
  </si>
  <si>
    <t>Armenia</t>
  </si>
  <si>
    <t>Argentina</t>
  </si>
  <si>
    <t>Georgia</t>
  </si>
  <si>
    <t>Peru</t>
  </si>
  <si>
    <t>Kosovo (Disputed Territory)</t>
  </si>
  <si>
    <t>Brazil</t>
  </si>
  <si>
    <t>Ecuador</t>
  </si>
  <si>
    <t>Iraq</t>
  </si>
  <si>
    <t>Ukraine</t>
  </si>
  <si>
    <t>Morocco</t>
  </si>
  <si>
    <t>Uzbekistan</t>
  </si>
  <si>
    <t>Azerbaijan</t>
  </si>
  <si>
    <t>Vietnam</t>
  </si>
  <si>
    <t>Dominican Republic</t>
  </si>
  <si>
    <t>Colombia</t>
  </si>
  <si>
    <t>Kyrgyzstan</t>
  </si>
  <si>
    <t>Paraguay</t>
  </si>
  <si>
    <t>Philippines</t>
  </si>
  <si>
    <t>Zimbabwe</t>
  </si>
  <si>
    <t>Libya</t>
  </si>
  <si>
    <t>Indonesia</t>
  </si>
  <si>
    <t>Tunisia</t>
  </si>
  <si>
    <t>Kenya</t>
  </si>
  <si>
    <t>Algeria</t>
  </si>
  <si>
    <t>Bangladesh</t>
  </si>
  <si>
    <t>Iran</t>
  </si>
  <si>
    <t>Venezuela</t>
  </si>
  <si>
    <t>Nepal</t>
  </si>
  <si>
    <t>Sri Lanka</t>
  </si>
  <si>
    <t>Ghana</t>
  </si>
  <si>
    <t>Pakistan</t>
  </si>
  <si>
    <t>Uganda</t>
  </si>
  <si>
    <t>Egypt</t>
  </si>
  <si>
    <t>Nigeria</t>
  </si>
  <si>
    <t>Safety index_2025</t>
  </si>
  <si>
    <t>Andorra</t>
  </si>
  <si>
    <t>Isle Of Man</t>
  </si>
  <si>
    <t>Monaco</t>
  </si>
  <si>
    <t>Rwanda</t>
  </si>
  <si>
    <t>Brunei</t>
  </si>
  <si>
    <t>Cayman Islands</t>
  </si>
  <si>
    <t>Cuba</t>
  </si>
  <si>
    <t>Palestine</t>
  </si>
  <si>
    <t>Barbados</t>
  </si>
  <si>
    <t>Sudan</t>
  </si>
  <si>
    <t>Zambia</t>
  </si>
  <si>
    <t>Ethiopia</t>
  </si>
  <si>
    <t>Nicaragua</t>
  </si>
  <si>
    <t>Myanmar</t>
  </si>
  <si>
    <t>Cambodia</t>
  </si>
  <si>
    <t>Mongolia</t>
  </si>
  <si>
    <t>Belize</t>
  </si>
  <si>
    <t>Botswana</t>
  </si>
  <si>
    <t>Tanzania</t>
  </si>
  <si>
    <t>North Korea</t>
  </si>
  <si>
    <t>Maldives</t>
  </si>
  <si>
    <t>Ivory Coast</t>
  </si>
  <si>
    <t>Fiji</t>
  </si>
  <si>
    <t>Bahamas</t>
  </si>
  <si>
    <t>Guatemala</t>
  </si>
  <si>
    <t>El Salvador</t>
  </si>
  <si>
    <t>Us Virgin Islands</t>
  </si>
  <si>
    <t>Mozambique</t>
  </si>
  <si>
    <t>Namibia</t>
  </si>
  <si>
    <t>Yemen</t>
  </si>
  <si>
    <t>Somalia</t>
  </si>
  <si>
    <t>Bolivia</t>
  </si>
  <si>
    <t>Cameroon</t>
  </si>
  <si>
    <t>Guyana</t>
  </si>
  <si>
    <t>Angola</t>
  </si>
  <si>
    <t>Jamaica</t>
  </si>
  <si>
    <t>Syria</t>
  </si>
  <si>
    <t>Honduras</t>
  </si>
  <si>
    <t>Afghanistan</t>
  </si>
  <si>
    <t>Haiti</t>
  </si>
  <si>
    <t>Papua New Guinea</t>
  </si>
  <si>
    <t>Healthcare_2025</t>
  </si>
  <si>
    <t>cc</t>
  </si>
  <si>
    <t>ge</t>
  </si>
  <si>
    <t>pv</t>
  </si>
  <si>
    <t>rl</t>
  </si>
  <si>
    <t>rq</t>
  </si>
  <si>
    <t>va</t>
  </si>
  <si>
    <t>Average</t>
  </si>
  <si>
    <t>Political stability_2023</t>
  </si>
  <si>
    <t>American Samoa</t>
  </si>
  <si>
    <t>Anguilla</t>
  </si>
  <si>
    <t>Antigua and Barbuda</t>
  </si>
  <si>
    <t>Aruba</t>
  </si>
  <si>
    <t>Bahamas, The</t>
  </si>
  <si>
    <t>Benin</t>
  </si>
  <si>
    <t>Bermuda</t>
  </si>
  <si>
    <t>Bhutan</t>
  </si>
  <si>
    <t>Bosnia and Herzegovina</t>
  </si>
  <si>
    <t>Brunei Darussalam</t>
  </si>
  <si>
    <t>Burkina Faso</t>
  </si>
  <si>
    <t>Burundi</t>
  </si>
  <si>
    <t>Cape Verde</t>
  </si>
  <si>
    <t>Central African Republic</t>
  </si>
  <si>
    <t>Chad</t>
  </si>
  <si>
    <t>Comoros</t>
  </si>
  <si>
    <t>Congo, Dem. Rep.</t>
  </si>
  <si>
    <t>Congo, Rep.</t>
  </si>
  <si>
    <t>Cook Islands</t>
  </si>
  <si>
    <t>Côte d'Ivoire</t>
  </si>
  <si>
    <t>Djibouti</t>
  </si>
  <si>
    <t>Dominica</t>
  </si>
  <si>
    <t>Equatorial Guinea</t>
  </si>
  <si>
    <t>Eritrea</t>
  </si>
  <si>
    <t>Eswatini</t>
  </si>
  <si>
    <t>French Guiana</t>
  </si>
  <si>
    <t>Gabon</t>
  </si>
  <si>
    <t>Gambia, The</t>
  </si>
  <si>
    <t>Greenland</t>
  </si>
  <si>
    <t>Grenada</t>
  </si>
  <si>
    <t>Guam</t>
  </si>
  <si>
    <t>Guinea</t>
  </si>
  <si>
    <t>Guinea-Bissau</t>
  </si>
  <si>
    <t>Jersey, Channel Islands</t>
  </si>
  <si>
    <t>Kiribati</t>
  </si>
  <si>
    <t>Korea, Rep.</t>
  </si>
  <si>
    <t>Lao PDR</t>
  </si>
  <si>
    <t>Lesotho</t>
  </si>
  <si>
    <t>Liberia</t>
  </si>
  <si>
    <t>Liechtenstein</t>
  </si>
  <si>
    <t>Macao SAR, China</t>
  </si>
  <si>
    <t>Madagascar</t>
  </si>
  <si>
    <t>Malawi</t>
  </si>
  <si>
    <t>Mali</t>
  </si>
  <si>
    <t>Marshall Islands</t>
  </si>
  <si>
    <t>Martinique</t>
  </si>
  <si>
    <t>Mauritania</t>
  </si>
  <si>
    <t>Micronesia, Fed. Sts.</t>
  </si>
  <si>
    <t>Nauru</t>
  </si>
  <si>
    <t>Netherlands Antilles (former)</t>
  </si>
  <si>
    <t>Niger</t>
  </si>
  <si>
    <t>Niue</t>
  </si>
  <si>
    <t>Palau</t>
  </si>
  <si>
    <t>Réunion</t>
  </si>
  <si>
    <t>Samoa</t>
  </si>
  <si>
    <t>San Marino</t>
  </si>
  <si>
    <t>Senegal</t>
  </si>
  <si>
    <t>Seychelles</t>
  </si>
  <si>
    <t>Sierra Leone</t>
  </si>
  <si>
    <t>Solomon Islands</t>
  </si>
  <si>
    <t>South Sudan</t>
  </si>
  <si>
    <t>St. Kitts and Nevis</t>
  </si>
  <si>
    <t>St. Lucia</t>
  </si>
  <si>
    <t>St. Vincent and the Grenadines</t>
  </si>
  <si>
    <t>Suriname</t>
  </si>
  <si>
    <t>Syrian Arab Republic</t>
  </si>
  <si>
    <t>São Tomé and Principe</t>
  </si>
  <si>
    <t>Tajikistan</t>
  </si>
  <si>
    <t>Timor-Leste</t>
  </si>
  <si>
    <t>Togo</t>
  </si>
  <si>
    <t>Tonga</t>
  </si>
  <si>
    <t>Trinidad and Tobago</t>
  </si>
  <si>
    <t>Turkmenistan</t>
  </si>
  <si>
    <t>Tuvalu</t>
  </si>
  <si>
    <t>Vanuatu</t>
  </si>
  <si>
    <t>Virgin Islands (U.S.)</t>
  </si>
  <si>
    <t>West Bank and Gaza</t>
  </si>
  <si>
    <t>Yemen, Rep.</t>
  </si>
  <si>
    <t>Pollution_2025</t>
  </si>
  <si>
    <t>Exp Pollution Index</t>
  </si>
  <si>
    <t>Climate_2025</t>
  </si>
  <si>
    <t>Climate_2026</t>
  </si>
  <si>
    <t>This is Christophs data from Georank. its Comfortable outdoor hours / year</t>
  </si>
  <si>
    <t>Country/Region</t>
  </si>
  <si>
    <t>Proficiency Band</t>
  </si>
  <si>
    <t>Score</t>
  </si>
  <si>
    <t>Source: https://www.ef.com/wwen/epi/</t>
  </si>
  <si>
    <t>Very high proficiency</t>
  </si>
  <si>
    <t>English_2024</t>
  </si>
  <si>
    <t>High proficiency</t>
  </si>
  <si>
    <t>Moderate proficiency</t>
  </si>
  <si>
    <t>Low proficiency</t>
  </si>
  <si>
    <t>Very low proficiency</t>
  </si>
  <si>
    <t>High Proficiency</t>
  </si>
  <si>
    <t>ElSalvador</t>
  </si>
  <si>
    <t>CapeVerde</t>
  </si>
  <si>
    <t>IvoryCoast</t>
  </si>
  <si>
    <t>Ease of settling in</t>
  </si>
  <si>
    <t>Openness_2024</t>
  </si>
  <si>
    <t>Source https://www.internations.org/expat-insider/2024/ease-of-settling-in-index-40452#methodology</t>
  </si>
  <si>
    <t>This is made up of 3 sub indexes: welcome &amp; culture, Local friendliness, and finding friends</t>
  </si>
  <si>
    <t>Rank</t>
  </si>
  <si>
    <t>source https://www.usnews.com/news/best-countries/rankings/scenic?utm_source=chatgpt.com</t>
  </si>
  <si>
    <t>2024 data</t>
  </si>
  <si>
    <t>WRI.Country</t>
  </si>
  <si>
    <t>ISO3.Code</t>
  </si>
  <si>
    <t>W</t>
  </si>
  <si>
    <t>E</t>
  </si>
  <si>
    <t>V</t>
  </si>
  <si>
    <t>S</t>
  </si>
  <si>
    <t>C</t>
  </si>
  <si>
    <t>A</t>
  </si>
  <si>
    <t>Source</t>
  </si>
  <si>
    <t>https://reliefweb.int/report/world/worldriskreport-2024-focus-multiple-crises?utm_source=chatgpt.com</t>
  </si>
  <si>
    <t>PHL</t>
  </si>
  <si>
    <t>Disaster_2024</t>
  </si>
  <si>
    <t>IDN</t>
  </si>
  <si>
    <t>IND</t>
  </si>
  <si>
    <t>COL</t>
  </si>
  <si>
    <t>MEX</t>
  </si>
  <si>
    <t>MMR</t>
  </si>
  <si>
    <t>MOZ</t>
  </si>
  <si>
    <t>RUS</t>
  </si>
  <si>
    <t>BGD</t>
  </si>
  <si>
    <t>PAK</t>
  </si>
  <si>
    <t>PER</t>
  </si>
  <si>
    <t>PNG</t>
  </si>
  <si>
    <t>MDG</t>
  </si>
  <si>
    <t>SOM</t>
  </si>
  <si>
    <t>YEM</t>
  </si>
  <si>
    <t>VNM</t>
  </si>
  <si>
    <t>VEN</t>
  </si>
  <si>
    <t>ECU</t>
  </si>
  <si>
    <t>USA</t>
  </si>
  <si>
    <t>NIC</t>
  </si>
  <si>
    <t>THA</t>
  </si>
  <si>
    <t>CHN</t>
  </si>
  <si>
    <t>AUS</t>
  </si>
  <si>
    <t>JPN</t>
  </si>
  <si>
    <t>CAN</t>
  </si>
  <si>
    <t>EGY</t>
  </si>
  <si>
    <t>PAN</t>
  </si>
  <si>
    <t>IRN</t>
  </si>
  <si>
    <t>HND</t>
  </si>
  <si>
    <t>United Republic of Tanzania</t>
  </si>
  <si>
    <t>TZA</t>
  </si>
  <si>
    <t>SLV</t>
  </si>
  <si>
    <t>ARG</t>
  </si>
  <si>
    <t>SLB</t>
  </si>
  <si>
    <t>MYS</t>
  </si>
  <si>
    <t>TUR</t>
  </si>
  <si>
    <t>NZL</t>
  </si>
  <si>
    <t>LBY</t>
  </si>
  <si>
    <t>KEN</t>
  </si>
  <si>
    <t>CHL</t>
  </si>
  <si>
    <t>DOM</t>
  </si>
  <si>
    <t>BRA</t>
  </si>
  <si>
    <t>SYR</t>
  </si>
  <si>
    <t>PRK</t>
  </si>
  <si>
    <t>GTM</t>
  </si>
  <si>
    <t>VUT</t>
  </si>
  <si>
    <t>CMR</t>
  </si>
  <si>
    <t>CRI</t>
  </si>
  <si>
    <t>ITA</t>
  </si>
  <si>
    <t>DJI</t>
  </si>
  <si>
    <t>Republic of Korea</t>
  </si>
  <si>
    <t>KOR</t>
  </si>
  <si>
    <t>MAR</t>
  </si>
  <si>
    <t>AGO</t>
  </si>
  <si>
    <t>SDN</t>
  </si>
  <si>
    <t>HTI</t>
  </si>
  <si>
    <t>TUN</t>
  </si>
  <si>
    <t>Democratic Republic of Congo</t>
  </si>
  <si>
    <t>COD</t>
  </si>
  <si>
    <t>ESP</t>
  </si>
  <si>
    <t>DZA</t>
  </si>
  <si>
    <t>ZAF</t>
  </si>
  <si>
    <t>SAU</t>
  </si>
  <si>
    <t>NGA</t>
  </si>
  <si>
    <t>MRT</t>
  </si>
  <si>
    <t>IRQ</t>
  </si>
  <si>
    <t>GRC</t>
  </si>
  <si>
    <t>KHM</t>
  </si>
  <si>
    <t>OMN</t>
  </si>
  <si>
    <t>BLZ</t>
  </si>
  <si>
    <t>CUB</t>
  </si>
  <si>
    <t>TLS</t>
  </si>
  <si>
    <t>FRA</t>
  </si>
  <si>
    <t>ERI</t>
  </si>
  <si>
    <t>GUY</t>
  </si>
  <si>
    <t>SUR</t>
  </si>
  <si>
    <t>FJI</t>
  </si>
  <si>
    <t>GIN</t>
  </si>
  <si>
    <t>ALB</t>
  </si>
  <si>
    <t>LKA</t>
  </si>
  <si>
    <t>SLE</t>
  </si>
  <si>
    <t>GBR</t>
  </si>
  <si>
    <t>SEN</t>
  </si>
  <si>
    <t>Republic of Congo</t>
  </si>
  <si>
    <t>COG</t>
  </si>
  <si>
    <t>NAM</t>
  </si>
  <si>
    <t>BEL</t>
  </si>
  <si>
    <t>GAB</t>
  </si>
  <si>
    <t>PRT</t>
  </si>
  <si>
    <t>URY</t>
  </si>
  <si>
    <t>Gambia</t>
  </si>
  <si>
    <t>GMB</t>
  </si>
  <si>
    <t>ETH</t>
  </si>
  <si>
    <t>BHS</t>
  </si>
  <si>
    <t>HRV</t>
  </si>
  <si>
    <t>POL</t>
  </si>
  <si>
    <t>ARE</t>
  </si>
  <si>
    <t>Federated States of Micronesia</t>
  </si>
  <si>
    <t>FSM</t>
  </si>
  <si>
    <t>UKR</t>
  </si>
  <si>
    <t>SSD</t>
  </si>
  <si>
    <t>AFG</t>
  </si>
  <si>
    <t>NLD</t>
  </si>
  <si>
    <t>DEU</t>
  </si>
  <si>
    <t>TON</t>
  </si>
  <si>
    <t>LBN</t>
  </si>
  <si>
    <t>ISR</t>
  </si>
  <si>
    <t>GEO</t>
  </si>
  <si>
    <t>JOR</t>
  </si>
  <si>
    <t>MUS</t>
  </si>
  <si>
    <t>GNB</t>
  </si>
  <si>
    <t>CYP</t>
  </si>
  <si>
    <t>CAF</t>
  </si>
  <si>
    <t>JAM</t>
  </si>
  <si>
    <t>MWI</t>
  </si>
  <si>
    <t>GNQ</t>
  </si>
  <si>
    <t>WSM</t>
  </si>
  <si>
    <t>SWE</t>
  </si>
  <si>
    <t>ROU</t>
  </si>
  <si>
    <t>Plurinational State of Bolivia</t>
  </si>
  <si>
    <t>BOL</t>
  </si>
  <si>
    <t>MHL</t>
  </si>
  <si>
    <t>LBR</t>
  </si>
  <si>
    <t>Lao People's Democratic Republic</t>
  </si>
  <si>
    <t>LAO</t>
  </si>
  <si>
    <t>BDI</t>
  </si>
  <si>
    <t>LVA</t>
  </si>
  <si>
    <t>TTO</t>
  </si>
  <si>
    <t>TCD</t>
  </si>
  <si>
    <t>GHA</t>
  </si>
  <si>
    <t>ZMB</t>
  </si>
  <si>
    <t>MNE</t>
  </si>
  <si>
    <t>ATG</t>
  </si>
  <si>
    <t>Saint Lucia</t>
  </si>
  <si>
    <t>LCA</t>
  </si>
  <si>
    <t>UGA</t>
  </si>
  <si>
    <t>KIR</t>
  </si>
  <si>
    <t>KWT</t>
  </si>
  <si>
    <t>NPL</t>
  </si>
  <si>
    <t>DMA</t>
  </si>
  <si>
    <t>COM</t>
  </si>
  <si>
    <t>RWA</t>
  </si>
  <si>
    <t>Saint Vincent and the Grenadines</t>
  </si>
  <si>
    <t>VCT</t>
  </si>
  <si>
    <t>ZWE</t>
  </si>
  <si>
    <t>ARM</t>
  </si>
  <si>
    <t>NOR</t>
  </si>
  <si>
    <t>SYC</t>
  </si>
  <si>
    <t>IRL</t>
  </si>
  <si>
    <t>KGZ</t>
  </si>
  <si>
    <t>BIH</t>
  </si>
  <si>
    <t>BRB</t>
  </si>
  <si>
    <t>BGR</t>
  </si>
  <si>
    <t>TJK</t>
  </si>
  <si>
    <t>LTU</t>
  </si>
  <si>
    <t>MLI</t>
  </si>
  <si>
    <t>AZE</t>
  </si>
  <si>
    <t>NER</t>
  </si>
  <si>
    <t>Saint Kitts and Nevis</t>
  </si>
  <si>
    <t>KNA</t>
  </si>
  <si>
    <t>SVN</t>
  </si>
  <si>
    <t>Cote d'Ivoire</t>
  </si>
  <si>
    <t>CIV</t>
  </si>
  <si>
    <t>PLW</t>
  </si>
  <si>
    <t>BFA</t>
  </si>
  <si>
    <t>ISL</t>
  </si>
  <si>
    <t>MNG</t>
  </si>
  <si>
    <t>KAZ</t>
  </si>
  <si>
    <t>SWZ</t>
  </si>
  <si>
    <t>GRD</t>
  </si>
  <si>
    <t>BEN</t>
  </si>
  <si>
    <t>EST</t>
  </si>
  <si>
    <t>SRB</t>
  </si>
  <si>
    <t>PRY</t>
  </si>
  <si>
    <t>TGO</t>
  </si>
  <si>
    <t>FIN</t>
  </si>
  <si>
    <t>TUV</t>
  </si>
  <si>
    <t>UZB</t>
  </si>
  <si>
    <t>BWA</t>
  </si>
  <si>
    <t>LSO</t>
  </si>
  <si>
    <t>MKD</t>
  </si>
  <si>
    <t>MDA</t>
  </si>
  <si>
    <t>BRN</t>
  </si>
  <si>
    <t>TKM</t>
  </si>
  <si>
    <t>BTN</t>
  </si>
  <si>
    <t>CPV</t>
  </si>
  <si>
    <t>AUT</t>
  </si>
  <si>
    <t>MDV</t>
  </si>
  <si>
    <t>CZE</t>
  </si>
  <si>
    <t>CHE</t>
  </si>
  <si>
    <t>SVK</t>
  </si>
  <si>
    <t>MLT</t>
  </si>
  <si>
    <t>NRU</t>
  </si>
  <si>
    <t>DNK</t>
  </si>
  <si>
    <t>HUN</t>
  </si>
  <si>
    <t>BHR</t>
  </si>
  <si>
    <t>QAT</t>
  </si>
  <si>
    <t>SGP</t>
  </si>
  <si>
    <t>BLR</t>
  </si>
  <si>
    <t>LIE</t>
  </si>
  <si>
    <t>Sao Tome and Principe</t>
  </si>
  <si>
    <t>STP</t>
  </si>
  <si>
    <t>LUX</t>
  </si>
  <si>
    <t>SMR</t>
  </si>
  <si>
    <t>AND</t>
  </si>
  <si>
    <t>MCO</t>
  </si>
  <si>
    <t>CGT</t>
  </si>
  <si>
    <t>Providing headline number</t>
  </si>
  <si>
    <t>https://taxsummaries.pwc.com/quick-charts/capital-gains-tax-cgt-rates</t>
  </si>
  <si>
    <t>Col_2025</t>
  </si>
  <si>
    <t>Guernsey</t>
  </si>
  <si>
    <t>Macao (China)</t>
  </si>
  <si>
    <t>Sal</t>
  </si>
  <si>
    <t>% Sal Germ</t>
  </si>
  <si>
    <t>% Sal Col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</si>
</sst>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2.0"/>
      <color theme="1"/>
      <name val="Aptos Narrow"/>
      <scheme val="minor"/>
    </font>
    <font>
      <sz val="11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  <font>
      <color theme="1"/>
      <name val="Aptos Narrow"/>
      <scheme val="minor"/>
    </font>
    <font>
      <sz val="14.0"/>
      <color rgb="FF000000"/>
      <name val="Arial"/>
    </font>
    <font>
      <b/>
      <sz val="11.0"/>
      <color theme="1"/>
      <name val="Aptos Narrow"/>
    </font>
    <font>
      <b/>
      <sz val="14.0"/>
      <color rgb="FF2E6E9E"/>
      <name val="Arial"/>
    </font>
    <font>
      <color theme="1"/>
      <name val="Arial"/>
    </font>
    <font>
      <b/>
      <sz val="16.0"/>
      <color rgb="FF202122"/>
      <name val="Arial"/>
    </font>
    <font>
      <u/>
      <sz val="12.0"/>
      <color theme="10"/>
      <name val="Aptos Narrow"/>
    </font>
    <font>
      <sz val="16.0"/>
      <color rgb="FF202122"/>
      <name val="Arial"/>
    </font>
    <font>
      <sz val="11.0"/>
      <color rgb="FF000000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2" xfId="0" applyAlignment="1" applyFont="1" applyNumberFormat="1">
      <alignment horizontal="left"/>
    </xf>
    <xf borderId="0" fillId="0" fontId="3" numFmtId="0" xfId="0" applyFont="1"/>
    <xf borderId="0" fillId="0" fontId="4" numFmtId="0" xfId="0" applyFont="1"/>
    <xf borderId="0" fillId="0" fontId="4" numFmtId="164" xfId="0" applyFont="1" applyNumberForma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2" fontId="3" numFmtId="0" xfId="0" applyBorder="1" applyFill="1" applyFont="1"/>
    <xf borderId="1" fillId="2" fontId="1" numFmtId="0" xfId="0" applyBorder="1" applyFill="1" applyFont="1"/>
    <xf borderId="1" fillId="2" fontId="2" numFmtId="0" xfId="0" applyBorder="1" applyFill="1" applyFont="1"/>
    <xf borderId="1" fillId="2" fontId="2" numFmtId="164" xfId="0" applyBorder="1" applyFill="1" applyFont="1" applyNumberFormat="1"/>
    <xf borderId="0" fillId="0" fontId="1" numFmtId="0" xfId="0" applyAlignment="1" applyFont="1">
      <alignment horizontal="right" vertical="bottom"/>
    </xf>
    <xf borderId="0" fillId="2" fontId="4" numFmtId="0" xfId="0" applyFill="1" applyFont="1"/>
    <xf borderId="1" fillId="3" fontId="3" numFmtId="0" xfId="0" applyBorder="1" applyFill="1" applyFont="1"/>
    <xf borderId="1" fillId="3" fontId="1" numFmtId="0" xfId="0" applyBorder="1" applyFill="1" applyFont="1"/>
    <xf borderId="1" fillId="3" fontId="2" numFmtId="0" xfId="0" applyBorder="1" applyFill="1" applyFont="1"/>
    <xf borderId="1" fillId="3" fontId="2" numFmtId="164" xfId="0" applyBorder="1" applyFill="1" applyFont="1" applyNumberFormat="1"/>
    <xf borderId="0" fillId="0" fontId="5" numFmtId="0" xfId="0" applyFont="1"/>
    <xf borderId="2" fillId="0" fontId="6" numFmtId="0" xfId="0" applyAlignment="1" applyBorder="1" applyFont="1">
      <alignment horizontal="center" vertical="top"/>
    </xf>
    <xf borderId="0" fillId="0" fontId="7" numFmtId="0" xfId="0" applyFont="1"/>
    <xf borderId="0" fillId="0" fontId="5" numFmtId="164" xfId="0" applyFont="1" applyNumberFormat="1"/>
    <xf borderId="0" fillId="0" fontId="2" numFmtId="164" xfId="0" applyFont="1" applyNumberFormat="1"/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77</xdr:row>
      <xdr:rowOff>0</xdr:rowOff>
    </xdr:from>
    <xdr:ext cx="295275" cy="190500"/>
    <xdr:sp>
      <xdr:nvSpPr>
        <xdr:cNvPr id="3" name="Shape 3"/>
        <xdr:cNvSpPr/>
      </xdr:nvSpPr>
      <xdr:spPr>
        <a:xfrm>
          <a:off x="5203125" y="3684750"/>
          <a:ext cx="285750" cy="1905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114</xdr:row>
      <xdr:rowOff>0</xdr:rowOff>
    </xdr:from>
    <xdr:ext cx="295275" cy="190500"/>
    <xdr:sp>
      <xdr:nvSpPr>
        <xdr:cNvPr id="3" name="Shape 3"/>
        <xdr:cNvSpPr/>
      </xdr:nvSpPr>
      <xdr:spPr>
        <a:xfrm>
          <a:off x="5203125" y="3684750"/>
          <a:ext cx="285750" cy="1905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Costa_Rica" TargetMode="External"/><Relationship Id="rId42" Type="http://schemas.openxmlformats.org/officeDocument/2006/relationships/hyperlink" Target="https://en.wikipedia.org/wiki/Albania" TargetMode="External"/><Relationship Id="rId41" Type="http://schemas.openxmlformats.org/officeDocument/2006/relationships/hyperlink" Target="https://en.wikipedia.org/wiki/Ghana" TargetMode="External"/><Relationship Id="rId44" Type="http://schemas.openxmlformats.org/officeDocument/2006/relationships/hyperlink" Target="https://en.wikipedia.org/wiki/Paraguay" TargetMode="External"/><Relationship Id="rId43" Type="http://schemas.openxmlformats.org/officeDocument/2006/relationships/hyperlink" Target="https://en.wikipedia.org/wiki/Russia" TargetMode="External"/><Relationship Id="rId46" Type="http://schemas.openxmlformats.org/officeDocument/2006/relationships/hyperlink" Target="https://en.wikipedia.org/wiki/Bolivia" TargetMode="External"/><Relationship Id="rId45" Type="http://schemas.openxmlformats.org/officeDocument/2006/relationships/hyperlink" Target="https://en.wikipedia.org/wiki/Italy" TargetMode="External"/><Relationship Id="rId107" Type="http://schemas.openxmlformats.org/officeDocument/2006/relationships/hyperlink" Target="https://en.wikipedia.org/wiki/Benin" TargetMode="External"/><Relationship Id="rId106" Type="http://schemas.openxmlformats.org/officeDocument/2006/relationships/hyperlink" Target="https://en.wikipedia.org/wiki/Iraq" TargetMode="External"/><Relationship Id="rId105" Type="http://schemas.openxmlformats.org/officeDocument/2006/relationships/hyperlink" Target="https://en.wikipedia.org/wiki/Thailand" TargetMode="External"/><Relationship Id="rId104" Type="http://schemas.openxmlformats.org/officeDocument/2006/relationships/hyperlink" Target="https://en.wikipedia.org/wiki/Saudi_Arabia" TargetMode="External"/><Relationship Id="rId109" Type="http://schemas.openxmlformats.org/officeDocument/2006/relationships/hyperlink" Target="https://en.wikipedia.org/wiki/Angola" TargetMode="External"/><Relationship Id="rId108" Type="http://schemas.openxmlformats.org/officeDocument/2006/relationships/hyperlink" Target="https://en.wikipedia.org/wiki/Tajikistan" TargetMode="External"/><Relationship Id="rId48" Type="http://schemas.openxmlformats.org/officeDocument/2006/relationships/hyperlink" Target="https://en.wikipedia.org/wiki/France" TargetMode="External"/><Relationship Id="rId47" Type="http://schemas.openxmlformats.org/officeDocument/2006/relationships/hyperlink" Target="https://en.wikipedia.org/wiki/Chile" TargetMode="External"/><Relationship Id="rId49" Type="http://schemas.openxmlformats.org/officeDocument/2006/relationships/hyperlink" Target="https://en.wikipedia.org/wiki/South_Korea" TargetMode="External"/><Relationship Id="rId103" Type="http://schemas.openxmlformats.org/officeDocument/2006/relationships/hyperlink" Target="https://en.wikipedia.org/wiki/Oman" TargetMode="External"/><Relationship Id="rId102" Type="http://schemas.openxmlformats.org/officeDocument/2006/relationships/hyperlink" Target="https://en.wikipedia.org/wiki/Kazakhstan" TargetMode="External"/><Relationship Id="rId101" Type="http://schemas.openxmlformats.org/officeDocument/2006/relationships/hyperlink" Target="https://en.wikipedia.org/wiki/Senegal" TargetMode="External"/><Relationship Id="rId100" Type="http://schemas.openxmlformats.org/officeDocument/2006/relationships/hyperlink" Target="https://en.wikipedia.org/wiki/Jordan" TargetMode="External"/><Relationship Id="rId31" Type="http://schemas.openxmlformats.org/officeDocument/2006/relationships/hyperlink" Target="https://en.wikipedia.org/wiki/Hong_Kong" TargetMode="External"/><Relationship Id="rId30" Type="http://schemas.openxmlformats.org/officeDocument/2006/relationships/hyperlink" Target="https://en.wikipedia.org/wiki/Switzerland" TargetMode="External"/><Relationship Id="rId33" Type="http://schemas.openxmlformats.org/officeDocument/2006/relationships/hyperlink" Target="https://en.wikipedia.org/wiki/Georgia_(country)" TargetMode="External"/><Relationship Id="rId32" Type="http://schemas.openxmlformats.org/officeDocument/2006/relationships/hyperlink" Target="https://en.wikipedia.org/wiki/Honduras" TargetMode="External"/><Relationship Id="rId35" Type="http://schemas.openxmlformats.org/officeDocument/2006/relationships/hyperlink" Target="https://en.wikipedia.org/wiki/Spain" TargetMode="External"/><Relationship Id="rId34" Type="http://schemas.openxmlformats.org/officeDocument/2006/relationships/hyperlink" Target="https://en.wikipedia.org/wiki/Belarus" TargetMode="External"/><Relationship Id="rId37" Type="http://schemas.openxmlformats.org/officeDocument/2006/relationships/hyperlink" Target="https://en.wikipedia.org/wiki/Armenia" TargetMode="External"/><Relationship Id="rId36" Type="http://schemas.openxmlformats.org/officeDocument/2006/relationships/hyperlink" Target="https://en.wikipedia.org/wiki/Uruguay" TargetMode="External"/><Relationship Id="rId39" Type="http://schemas.openxmlformats.org/officeDocument/2006/relationships/hyperlink" Target="https://en.wikipedia.org/wiki/Ukraine" TargetMode="External"/><Relationship Id="rId38" Type="http://schemas.openxmlformats.org/officeDocument/2006/relationships/hyperlink" Target="https://en.wikipedia.org/wiki/Moldova" TargetMode="External"/><Relationship Id="rId20" Type="http://schemas.openxmlformats.org/officeDocument/2006/relationships/hyperlink" Target="https://en.wikipedia.org/wiki/Estonia" TargetMode="External"/><Relationship Id="rId22" Type="http://schemas.openxmlformats.org/officeDocument/2006/relationships/hyperlink" Target="https://en.wikipedia.org/wiki/Philippines" TargetMode="External"/><Relationship Id="rId21" Type="http://schemas.openxmlformats.org/officeDocument/2006/relationships/hyperlink" Target="https://en.wikipedia.org/wiki/Luxembourg" TargetMode="External"/><Relationship Id="rId24" Type="http://schemas.openxmlformats.org/officeDocument/2006/relationships/hyperlink" Target="https://en.wikipedia.org/wiki/Serbia" TargetMode="External"/><Relationship Id="rId23" Type="http://schemas.openxmlformats.org/officeDocument/2006/relationships/hyperlink" Target="https://en.wikipedia.org/wiki/Lithuania" TargetMode="External"/><Relationship Id="rId26" Type="http://schemas.openxmlformats.org/officeDocument/2006/relationships/hyperlink" Target="https://en.wikipedia.org/wiki/Suriname" TargetMode="External"/><Relationship Id="rId25" Type="http://schemas.openxmlformats.org/officeDocument/2006/relationships/hyperlink" Target="https://en.wikipedia.org/wiki/Malaysia" TargetMode="External"/><Relationship Id="rId28" Type="http://schemas.openxmlformats.org/officeDocument/2006/relationships/hyperlink" Target="https://en.wikipedia.org/wiki/Cyprus" TargetMode="External"/><Relationship Id="rId27" Type="http://schemas.openxmlformats.org/officeDocument/2006/relationships/hyperlink" Target="https://en.wikipedia.org/wiki/Argentina" TargetMode="External"/><Relationship Id="rId29" Type="http://schemas.openxmlformats.org/officeDocument/2006/relationships/hyperlink" Target="https://en.wikipedia.org/wiki/Nigeria" TargetMode="External"/><Relationship Id="rId95" Type="http://schemas.openxmlformats.org/officeDocument/2006/relationships/hyperlink" Target="https://en.wikipedia.org/wiki/Malawi" TargetMode="External"/><Relationship Id="rId94" Type="http://schemas.openxmlformats.org/officeDocument/2006/relationships/hyperlink" Target="https://en.wikipedia.org/wiki/Afghanistan" TargetMode="External"/><Relationship Id="rId97" Type="http://schemas.openxmlformats.org/officeDocument/2006/relationships/hyperlink" Target="https://en.wikipedia.org/wiki/Uzbekistan" TargetMode="External"/><Relationship Id="rId96" Type="http://schemas.openxmlformats.org/officeDocument/2006/relationships/hyperlink" Target="https://en.wikipedia.org/wiki/Cameroon" TargetMode="External"/><Relationship Id="rId11" Type="http://schemas.openxmlformats.org/officeDocument/2006/relationships/hyperlink" Target="https://en.wikipedia.org/wiki/South_Africa" TargetMode="External"/><Relationship Id="rId99" Type="http://schemas.openxmlformats.org/officeDocument/2006/relationships/hyperlink" Target="https://en.wikipedia.org/wiki/Sudan" TargetMode="External"/><Relationship Id="rId10" Type="http://schemas.openxmlformats.org/officeDocument/2006/relationships/hyperlink" Target="https://en.wikipedia.org/wiki/Germany" TargetMode="External"/><Relationship Id="rId98" Type="http://schemas.openxmlformats.org/officeDocument/2006/relationships/hyperlink" Target="https://en.wikipedia.org/wiki/Haiti" TargetMode="External"/><Relationship Id="rId13" Type="http://schemas.openxmlformats.org/officeDocument/2006/relationships/hyperlink" Target="https://en.wikipedia.org/wiki/Belgium" TargetMode="External"/><Relationship Id="rId12" Type="http://schemas.openxmlformats.org/officeDocument/2006/relationships/hyperlink" Target="https://en.wikipedia.org/wiki/Romania" TargetMode="External"/><Relationship Id="rId91" Type="http://schemas.openxmlformats.org/officeDocument/2006/relationships/hyperlink" Target="https://en.wikipedia.org/wiki/Japan" TargetMode="External"/><Relationship Id="rId90" Type="http://schemas.openxmlformats.org/officeDocument/2006/relationships/hyperlink" Target="https://en.wikipedia.org/wiki/China" TargetMode="External"/><Relationship Id="rId93" Type="http://schemas.openxmlformats.org/officeDocument/2006/relationships/hyperlink" Target="https://en.wikipedia.org/wiki/Palestine" TargetMode="External"/><Relationship Id="rId92" Type="http://schemas.openxmlformats.org/officeDocument/2006/relationships/hyperlink" Target="https://en.wikipedia.org/wiki/Myanmar" TargetMode="External"/><Relationship Id="rId116" Type="http://schemas.openxmlformats.org/officeDocument/2006/relationships/drawing" Target="../drawings/drawing7.xml"/><Relationship Id="rId115" Type="http://schemas.openxmlformats.org/officeDocument/2006/relationships/hyperlink" Target="https://en.wikipedia.org/wiki/Yemen" TargetMode="External"/><Relationship Id="rId15" Type="http://schemas.openxmlformats.org/officeDocument/2006/relationships/hyperlink" Target="https://en.wikipedia.org/wiki/Poland" TargetMode="External"/><Relationship Id="rId110" Type="http://schemas.openxmlformats.org/officeDocument/2006/relationships/hyperlink" Target="https://en.wikipedia.org/wiki/Cambodia" TargetMode="External"/><Relationship Id="rId14" Type="http://schemas.openxmlformats.org/officeDocument/2006/relationships/hyperlink" Target="https://en.wikipedia.org/wiki/Finland" TargetMode="External"/><Relationship Id="rId17" Type="http://schemas.openxmlformats.org/officeDocument/2006/relationships/hyperlink" Target="https://en.wikipedia.org/wiki/Hungary" TargetMode="External"/><Relationship Id="rId16" Type="http://schemas.openxmlformats.org/officeDocument/2006/relationships/hyperlink" Target="https://en.wikipedia.org/wiki/Bulgaria" TargetMode="External"/><Relationship Id="rId19" Type="http://schemas.openxmlformats.org/officeDocument/2006/relationships/hyperlink" Target="https://en.wikipedia.org/wiki/Kenya" TargetMode="External"/><Relationship Id="rId114" Type="http://schemas.openxmlformats.org/officeDocument/2006/relationships/hyperlink" Target="https://en.wikipedia.org/wiki/Somalia" TargetMode="External"/><Relationship Id="rId18" Type="http://schemas.openxmlformats.org/officeDocument/2006/relationships/hyperlink" Target="https://en.wikipedia.org/wiki/Slovakia" TargetMode="External"/><Relationship Id="rId113" Type="http://schemas.openxmlformats.org/officeDocument/2006/relationships/hyperlink" Target="https://en.wikipedia.org/wiki/Ivory_Coast" TargetMode="External"/><Relationship Id="rId112" Type="http://schemas.openxmlformats.org/officeDocument/2006/relationships/hyperlink" Target="https://en.wikipedia.org/wiki/Rwanda" TargetMode="External"/><Relationship Id="rId111" Type="http://schemas.openxmlformats.org/officeDocument/2006/relationships/hyperlink" Target="https://en.wikipedia.org/wiki/Libya" TargetMode="External"/><Relationship Id="rId84" Type="http://schemas.openxmlformats.org/officeDocument/2006/relationships/hyperlink" Target="https://en.wikipedia.org/wiki/Madagascar" TargetMode="External"/><Relationship Id="rId83" Type="http://schemas.openxmlformats.org/officeDocument/2006/relationships/hyperlink" Target="https://en.wikipedia.org/wiki/Mongolia" TargetMode="External"/><Relationship Id="rId86" Type="http://schemas.openxmlformats.org/officeDocument/2006/relationships/hyperlink" Target="https://en.wikipedia.org/wiki/Mexico" TargetMode="External"/><Relationship Id="rId85" Type="http://schemas.openxmlformats.org/officeDocument/2006/relationships/hyperlink" Target="https://en.wikipedia.org/wiki/Azerbaijan" TargetMode="External"/><Relationship Id="rId88" Type="http://schemas.openxmlformats.org/officeDocument/2006/relationships/hyperlink" Target="https://en.wikipedia.org/wiki/Cape_Verde" TargetMode="External"/><Relationship Id="rId87" Type="http://schemas.openxmlformats.org/officeDocument/2006/relationships/hyperlink" Target="https://en.wikipedia.org/wiki/Kyrgyzstan" TargetMode="External"/><Relationship Id="rId89" Type="http://schemas.openxmlformats.org/officeDocument/2006/relationships/hyperlink" Target="https://en.wikipedia.org/wiki/Kuwait" TargetMode="External"/><Relationship Id="rId80" Type="http://schemas.openxmlformats.org/officeDocument/2006/relationships/hyperlink" Target="https://en.wikipedia.org/wiki/Brazil" TargetMode="External"/><Relationship Id="rId82" Type="http://schemas.openxmlformats.org/officeDocument/2006/relationships/hyperlink" Target="https://en.wikipedia.org/wiki/Egypt" TargetMode="External"/><Relationship Id="rId81" Type="http://schemas.openxmlformats.org/officeDocument/2006/relationships/hyperlink" Target="https://en.wikipedia.org/wiki/Ecuador" TargetMode="External"/><Relationship Id="rId1" Type="http://schemas.openxmlformats.org/officeDocument/2006/relationships/hyperlink" Target="https://en.wikipedia.org/wiki/Netherlands" TargetMode="External"/><Relationship Id="rId2" Type="http://schemas.openxmlformats.org/officeDocument/2006/relationships/hyperlink" Target="https://en.wikipedia.org/wiki/Norway" TargetMode="External"/><Relationship Id="rId3" Type="http://schemas.openxmlformats.org/officeDocument/2006/relationships/hyperlink" Target="https://en.wikipedia.org/wiki/Singapore" TargetMode="External"/><Relationship Id="rId4" Type="http://schemas.openxmlformats.org/officeDocument/2006/relationships/hyperlink" Target="https://en.wikipedia.org/wiki/Sweden" TargetMode="External"/><Relationship Id="rId9" Type="http://schemas.openxmlformats.org/officeDocument/2006/relationships/hyperlink" Target="https://en.wikipedia.org/wiki/Austria" TargetMode="External"/><Relationship Id="rId5" Type="http://schemas.openxmlformats.org/officeDocument/2006/relationships/hyperlink" Target="https://en.wikipedia.org/wiki/Croatia" TargetMode="External"/><Relationship Id="rId6" Type="http://schemas.openxmlformats.org/officeDocument/2006/relationships/hyperlink" Target="https://en.wikipedia.org/wiki/Portugal" TargetMode="External"/><Relationship Id="rId7" Type="http://schemas.openxmlformats.org/officeDocument/2006/relationships/hyperlink" Target="https://en.wikipedia.org/wiki/Denmark" TargetMode="External"/><Relationship Id="rId8" Type="http://schemas.openxmlformats.org/officeDocument/2006/relationships/hyperlink" Target="https://en.wikipedia.org/wiki/Greece" TargetMode="External"/><Relationship Id="rId73" Type="http://schemas.openxmlformats.org/officeDocument/2006/relationships/hyperlink" Target="https://en.wikipedia.org/wiki/Colombia" TargetMode="External"/><Relationship Id="rId72" Type="http://schemas.openxmlformats.org/officeDocument/2006/relationships/hyperlink" Target="https://en.wikipedia.org/wiki/Sri_Lanka" TargetMode="External"/><Relationship Id="rId75" Type="http://schemas.openxmlformats.org/officeDocument/2006/relationships/hyperlink" Target="https://en.wikipedia.org/wiki/Morocco" TargetMode="External"/><Relationship Id="rId74" Type="http://schemas.openxmlformats.org/officeDocument/2006/relationships/hyperlink" Target="https://en.wikipedia.org/wiki/Qatar" TargetMode="External"/><Relationship Id="rId77" Type="http://schemas.openxmlformats.org/officeDocument/2006/relationships/hyperlink" Target="https://en.wikipedia.org/wiki/Algeria" TargetMode="External"/><Relationship Id="rId76" Type="http://schemas.openxmlformats.org/officeDocument/2006/relationships/hyperlink" Target="https://en.wikipedia.org/wiki/Syria" TargetMode="External"/><Relationship Id="rId79" Type="http://schemas.openxmlformats.org/officeDocument/2006/relationships/hyperlink" Target="https://en.wikipedia.org/wiki/Indonesia" TargetMode="External"/><Relationship Id="rId78" Type="http://schemas.openxmlformats.org/officeDocument/2006/relationships/hyperlink" Target="https://en.wikipedia.org/wiki/Mozambique" TargetMode="External"/><Relationship Id="rId71" Type="http://schemas.openxmlformats.org/officeDocument/2006/relationships/hyperlink" Target="https://en.wikipedia.org/wiki/Tanzania" TargetMode="External"/><Relationship Id="rId70" Type="http://schemas.openxmlformats.org/officeDocument/2006/relationships/hyperlink" Target="https://en.wikipedia.org/wiki/Panama" TargetMode="External"/><Relationship Id="rId62" Type="http://schemas.openxmlformats.org/officeDocument/2006/relationships/hyperlink" Target="https://en.wikipedia.org/wiki/Ethiopia" TargetMode="External"/><Relationship Id="rId61" Type="http://schemas.openxmlformats.org/officeDocument/2006/relationships/hyperlink" Target="https://en.wikipedia.org/wiki/Iran" TargetMode="External"/><Relationship Id="rId64" Type="http://schemas.openxmlformats.org/officeDocument/2006/relationships/hyperlink" Target="https://en.wikipedia.org/wiki/Turkey" TargetMode="External"/><Relationship Id="rId63" Type="http://schemas.openxmlformats.org/officeDocument/2006/relationships/hyperlink" Target="https://en.wikipedia.org/wiki/Vietnam" TargetMode="External"/><Relationship Id="rId66" Type="http://schemas.openxmlformats.org/officeDocument/2006/relationships/hyperlink" Target="https://en.wikipedia.org/wiki/Pakistan" TargetMode="External"/><Relationship Id="rId65" Type="http://schemas.openxmlformats.org/officeDocument/2006/relationships/hyperlink" Target="https://en.wikipedia.org/wiki/Tunisia" TargetMode="External"/><Relationship Id="rId68" Type="http://schemas.openxmlformats.org/officeDocument/2006/relationships/hyperlink" Target="https://en.wikipedia.org/wiki/India" TargetMode="External"/><Relationship Id="rId67" Type="http://schemas.openxmlformats.org/officeDocument/2006/relationships/hyperlink" Target="https://en.wikipedia.org/wiki/Lebanon" TargetMode="External"/><Relationship Id="rId60" Type="http://schemas.openxmlformats.org/officeDocument/2006/relationships/hyperlink" Target="https://en.wikipedia.org/wiki/Bangladesh" TargetMode="External"/><Relationship Id="rId69" Type="http://schemas.openxmlformats.org/officeDocument/2006/relationships/hyperlink" Target="https://en.wikipedia.org/wiki/United_Arab_Emirates" TargetMode="External"/><Relationship Id="rId51" Type="http://schemas.openxmlformats.org/officeDocument/2006/relationships/hyperlink" Target="https://en.wikipedia.org/wiki/Cuba" TargetMode="External"/><Relationship Id="rId50" Type="http://schemas.openxmlformats.org/officeDocument/2006/relationships/hyperlink" Target="https://en.wikipedia.org/wiki/Israel" TargetMode="External"/><Relationship Id="rId53" Type="http://schemas.openxmlformats.org/officeDocument/2006/relationships/hyperlink" Target="https://en.wikipedia.org/wiki/Uganda" TargetMode="External"/><Relationship Id="rId52" Type="http://schemas.openxmlformats.org/officeDocument/2006/relationships/hyperlink" Target="https://en.wikipedia.org/wiki/Peru" TargetMode="External"/><Relationship Id="rId55" Type="http://schemas.openxmlformats.org/officeDocument/2006/relationships/hyperlink" Target="https://en.wikipedia.org/wiki/Nepal" TargetMode="External"/><Relationship Id="rId54" Type="http://schemas.openxmlformats.org/officeDocument/2006/relationships/hyperlink" Target="https://en.wikipedia.org/wiki/El_Salvador" TargetMode="External"/><Relationship Id="rId57" Type="http://schemas.openxmlformats.org/officeDocument/2006/relationships/hyperlink" Target="https://en.wikipedia.org/wiki/Guatemala" TargetMode="External"/><Relationship Id="rId56" Type="http://schemas.openxmlformats.org/officeDocument/2006/relationships/hyperlink" Target="https://en.wikipedia.org/wiki/Venezuela" TargetMode="External"/><Relationship Id="rId59" Type="http://schemas.openxmlformats.org/officeDocument/2006/relationships/hyperlink" Target="https://en.wikipedia.org/wiki/Dominican_Republic" TargetMode="External"/><Relationship Id="rId58" Type="http://schemas.openxmlformats.org/officeDocument/2006/relationships/hyperlink" Target="https://en.wikipedia.org/wiki/Nicaragu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0.0"/>
    <col customWidth="1" min="3" max="3" width="10.56"/>
    <col customWidth="1" min="4" max="4" width="15.67"/>
    <col customWidth="1" min="5" max="5" width="10.56"/>
    <col customWidth="1" min="6" max="6" width="14.67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4" t="s">
        <v>12</v>
      </c>
      <c r="B2" s="4">
        <v>6862.91</v>
      </c>
      <c r="C2" s="1">
        <f>VLOOKUP(A2, Sheet1!A:B, 2, FALSE)</f>
        <v>74.8</v>
      </c>
      <c r="D2" s="5">
        <f>VLOOKUP(A2, Safety!A:B, 2, FALSE)</f>
        <v>73.5</v>
      </c>
      <c r="E2" s="5">
        <f>VLOOKUP(A2, Health!A:B, 2, FALSE)</f>
        <v>71.5</v>
      </c>
      <c r="F2" s="5">
        <f>VLOOKUP(A2, Political!A:H, 8, FALSE)</f>
        <v>96.44715754</v>
      </c>
      <c r="G2" s="6">
        <f>VLOOKUP(A2, Pollution!A:B, 2, FALSE)</f>
        <v>23.3</v>
      </c>
      <c r="H2" s="7">
        <v>2357.0</v>
      </c>
      <c r="I2" s="5">
        <f>VLOOKUP(A2, English!A:C, 3, FALSE)</f>
        <v>550</v>
      </c>
      <c r="J2" s="5">
        <f>VLOOKUP(A2, Openness!A:C, 2, FALSE)</f>
        <v>46</v>
      </c>
      <c r="K2" s="5">
        <f>VLOOKUP(A2, Scenic!A:B, 2, FALSE)</f>
        <v>4</v>
      </c>
      <c r="L2" s="5">
        <f>VLOOKUP(A2, Disaster!A:H, 3, FALSE)</f>
        <v>1.05</v>
      </c>
    </row>
    <row r="3" ht="15.75" customHeight="1">
      <c r="A3" s="4" t="s">
        <v>13</v>
      </c>
      <c r="B3" s="4">
        <v>5379.43</v>
      </c>
      <c r="C3" s="1">
        <f>VLOOKUP(A3, Sheet1!A:B, 2, FALSE)</f>
        <v>54.8</v>
      </c>
      <c r="D3" s="5">
        <f>VLOOKUP(A3, Safety!A:B, 2, FALSE)</f>
        <v>65.8</v>
      </c>
      <c r="E3" s="5">
        <f>VLOOKUP(A3, Health!A:B, 2, FALSE)</f>
        <v>75.2</v>
      </c>
      <c r="F3" s="5">
        <f>VLOOKUP(A3, Political!A:H, 8, FALSE)</f>
        <v>96.20439529</v>
      </c>
      <c r="G3" s="6">
        <f>VLOOKUP(A3, Pollution!A:B, 2, FALSE)</f>
        <v>23.3</v>
      </c>
      <c r="H3" s="7">
        <v>2218.0</v>
      </c>
      <c r="I3" s="5">
        <f>VLOOKUP(A3, English!A:C, 3, FALSE)</f>
        <v>576</v>
      </c>
      <c r="J3" s="5">
        <f>VLOOKUP(A3, Openness!A:C, 2, FALSE)</f>
        <v>38</v>
      </c>
      <c r="K3" s="5">
        <f>VLOOKUP(A3, Scenic!A:B, 2, FALSE)</f>
        <v>40</v>
      </c>
      <c r="L3" s="5">
        <f>VLOOKUP(A3, Disaster!A:H, 3, FALSE)</f>
        <v>0.61</v>
      </c>
    </row>
    <row r="4" ht="15.75" customHeight="1">
      <c r="A4" s="4" t="s">
        <v>14</v>
      </c>
      <c r="B4" s="4">
        <v>4269.48</v>
      </c>
      <c r="C4" s="1">
        <f>VLOOKUP(A4, Sheet1!A:B, 2, FALSE)</f>
        <v>54.3</v>
      </c>
      <c r="D4" s="5">
        <f>VLOOKUP(A4, Safety!A:B, 2, FALSE)</f>
        <v>50.8</v>
      </c>
      <c r="E4" s="5">
        <f>VLOOKUP(A4, Health!A:B, 2, FALSE)</f>
        <v>67.8</v>
      </c>
      <c r="F4" s="5">
        <f>VLOOKUP(A4, Political!A:H, 8, FALSE)</f>
        <v>78.8139267</v>
      </c>
      <c r="G4" s="6">
        <f>VLOOKUP(A4, Pollution!A:B, 2, FALSE)</f>
        <v>36.5</v>
      </c>
      <c r="H4" s="7">
        <v>2418.0</v>
      </c>
      <c r="I4" s="5">
        <v>700.0</v>
      </c>
      <c r="J4" s="5">
        <f>VLOOKUP(A4, Openness!A:C, 2, FALSE)</f>
        <v>28</v>
      </c>
      <c r="K4" s="5">
        <f>VLOOKUP(A4, Scenic!A:B, 2, FALSE)</f>
        <v>51</v>
      </c>
      <c r="L4" s="5">
        <f>VLOOKUP(A4, Disaster!A:H, 3, FALSE)</f>
        <v>22.56</v>
      </c>
    </row>
    <row r="5" ht="15.75" customHeight="1">
      <c r="A5" s="4" t="s">
        <v>15</v>
      </c>
      <c r="B5" s="4">
        <v>4106.34</v>
      </c>
      <c r="C5" s="1">
        <f>VLOOKUP(A5, Sheet1!A:B, 2, FALSE)</f>
        <v>73.7</v>
      </c>
      <c r="D5" s="5">
        <f>VLOOKUP(A5, Safety!A:B, 2, FALSE)</f>
        <v>77.4</v>
      </c>
      <c r="E5" s="5">
        <f>VLOOKUP(A5, Health!A:B, 2, FALSE)</f>
        <v>71.8</v>
      </c>
      <c r="F5" s="5">
        <f>VLOOKUP(A5, Political!A:H, 8, FALSE)</f>
        <v>89.50170962</v>
      </c>
      <c r="G5" s="6">
        <f>VLOOKUP(A5, Pollution!A:B, 2, FALSE)</f>
        <v>32.5</v>
      </c>
      <c r="H5" s="7">
        <v>1186.0</v>
      </c>
      <c r="I5" s="5">
        <f>VLOOKUP(A5, English!A:C, 3, FALSE)</f>
        <v>609</v>
      </c>
      <c r="J5" s="5">
        <f>VLOOKUP(A5, Openness!A:C, 2, FALSE)</f>
        <v>30</v>
      </c>
      <c r="K5" s="5">
        <f>VLOOKUP(A5, Scenic!A:B, 2, FALSE)</f>
        <v>33</v>
      </c>
      <c r="L5" s="5">
        <f>VLOOKUP(A5, Disaster!A:H, 3, FALSE)</f>
        <v>0.8</v>
      </c>
    </row>
    <row r="6" ht="15.75" customHeight="1">
      <c r="A6" s="4" t="s">
        <v>16</v>
      </c>
      <c r="B6" s="4">
        <v>4076.16</v>
      </c>
      <c r="C6" s="1">
        <f>VLOOKUP(A6, Sheet1!A:B, 2, FALSE)</f>
        <v>65.9</v>
      </c>
      <c r="D6" s="5">
        <f>VLOOKUP(A6, Safety!A:B, 2, FALSE)</f>
        <v>74.3</v>
      </c>
      <c r="E6" s="5">
        <f>VLOOKUP(A6, Health!A:B, 2, FALSE)</f>
        <v>67.6</v>
      </c>
      <c r="F6" s="5">
        <f>VLOOKUP(A6, Political!A:H, 8, FALSE)</f>
        <v>93.11965561</v>
      </c>
      <c r="G6" s="6">
        <f>VLOOKUP(A6, Pollution!A:B, 2, FALSE)</f>
        <v>16</v>
      </c>
      <c r="H6" s="7">
        <v>1012.0</v>
      </c>
      <c r="I6" s="5" t="str">
        <f>VLOOKUP(A6, English!A:C, 3, FALSE)</f>
        <v>#N/A</v>
      </c>
      <c r="J6" s="5" t="str">
        <f>VLOOKUP(A6, Openness!A:C, 2, FALSE)</f>
        <v>#N/A</v>
      </c>
      <c r="K6" s="5">
        <f>VLOOKUP(A6, Scenic!A:B, 2, FALSE)</f>
        <v>8</v>
      </c>
      <c r="L6" s="5">
        <f>VLOOKUP(A6, Disaster!A:H, 3, FALSE)</f>
        <v>2.01</v>
      </c>
    </row>
    <row r="7" ht="15.75" customHeight="1">
      <c r="A7" s="4" t="s">
        <v>17</v>
      </c>
      <c r="B7" s="4">
        <v>4005.27</v>
      </c>
      <c r="C7" s="1">
        <f>VLOOKUP(A7, Sheet1!A:B, 2, FALSE)</f>
        <v>48.6</v>
      </c>
      <c r="D7" s="5">
        <f>VLOOKUP(A7, Safety!A:B, 2, FALSE)</f>
        <v>74</v>
      </c>
      <c r="E7" s="5">
        <f>VLOOKUP(A7, Health!A:B, 2, FALSE)</f>
        <v>78.4</v>
      </c>
      <c r="F7" s="5">
        <f>VLOOKUP(A7, Political!A:H, 8, FALSE)</f>
        <v>95.25551351</v>
      </c>
      <c r="G7" s="6">
        <f>VLOOKUP(A7, Pollution!A:B, 2, FALSE)</f>
        <v>20.8</v>
      </c>
      <c r="H7" s="7">
        <v>1961.0</v>
      </c>
      <c r="I7" s="5">
        <f>VLOOKUP(A7, English!A:C, 3, FALSE)</f>
        <v>603</v>
      </c>
      <c r="J7" s="5">
        <f>VLOOKUP(A7, Openness!A:C, 2, FALSE)</f>
        <v>45</v>
      </c>
      <c r="K7" s="5">
        <f>VLOOKUP(A7, Scenic!A:B, 2, FALSE)</f>
        <v>25</v>
      </c>
      <c r="L7" s="5">
        <f>VLOOKUP(A7, Disaster!A:H, 3, FALSE)</f>
        <v>0.98</v>
      </c>
    </row>
    <row r="8" ht="15.75" customHeight="1">
      <c r="A8" s="4" t="s">
        <v>18</v>
      </c>
      <c r="B8" s="4">
        <v>3945.23</v>
      </c>
      <c r="C8" s="1">
        <f>VLOOKUP(A8, Sheet1!A:B, 2, FALSE)</f>
        <v>47.1</v>
      </c>
      <c r="D8" s="5">
        <f>VLOOKUP(A8, Safety!A:B, 2, FALSE)</f>
        <v>52.7</v>
      </c>
      <c r="E8" s="5">
        <f>VLOOKUP(A8, Health!A:B, 2, FALSE)</f>
        <v>73.4</v>
      </c>
      <c r="F8" s="5">
        <f>VLOOKUP(A8, Political!A:H, 8, FALSE)</f>
        <v>92.80522664</v>
      </c>
      <c r="G8" s="6">
        <f>VLOOKUP(A8, Pollution!A:B, 2, FALSE)</f>
        <v>27</v>
      </c>
      <c r="H8" s="7">
        <v>3315.0</v>
      </c>
      <c r="I8" s="5">
        <v>700.0</v>
      </c>
      <c r="J8" s="5">
        <f>VLOOKUP(A8, Openness!A:C, 2, FALSE)</f>
        <v>20</v>
      </c>
      <c r="K8" s="5">
        <f>VLOOKUP(A8, Scenic!A:B, 2, FALSE)</f>
        <v>9</v>
      </c>
      <c r="L8" s="5">
        <f>VLOOKUP(A8, Disaster!A:H, 3, FALSE)</f>
        <v>21.05</v>
      </c>
    </row>
    <row r="9" ht="15.75" customHeight="1">
      <c r="A9" s="4" t="s">
        <v>19</v>
      </c>
      <c r="B9" s="4">
        <v>3852.5</v>
      </c>
      <c r="C9" s="1">
        <f>VLOOKUP(A9, Sheet1!A:B, 2, FALSE)</f>
        <v>65.7</v>
      </c>
      <c r="D9" s="5">
        <f>VLOOKUP(A9, Safety!A:B, 2, FALSE)</f>
        <v>78.5</v>
      </c>
      <c r="E9" s="5">
        <f>VLOOKUP(A9, Health!A:B, 2, FALSE)</f>
        <v>66.1</v>
      </c>
      <c r="F9" s="5">
        <f>VLOOKUP(A9, Political!A:H, 8, FALSE)</f>
        <v>79.14127922</v>
      </c>
      <c r="G9" s="6">
        <f>VLOOKUP(A9, Pollution!A:B, 2, FALSE)</f>
        <v>67</v>
      </c>
      <c r="H9" s="8"/>
      <c r="I9" s="5">
        <f>VLOOKUP(A9, English!A:C, 3, FALSE)</f>
        <v>549</v>
      </c>
      <c r="J9" s="5">
        <f>VLOOKUP(A9, Openness!A:C, 2, FALSE)</f>
        <v>27</v>
      </c>
      <c r="K9" s="5" t="str">
        <f>VLOOKUP(A9, Scenic!A:B, 2, FALSE)</f>
        <v>#N/A</v>
      </c>
      <c r="L9" s="5" t="str">
        <f>VLOOKUP(A9, Disaster!A:H, 3, FALSE)</f>
        <v>#N/A</v>
      </c>
    </row>
    <row r="10" ht="15.75" customHeight="1">
      <c r="A10" s="4" t="s">
        <v>20</v>
      </c>
      <c r="B10" s="4">
        <v>3829.17</v>
      </c>
      <c r="C10" s="1">
        <f>VLOOKUP(A10, Sheet1!A:B, 2, FALSE)</f>
        <v>47.9</v>
      </c>
      <c r="D10" s="5">
        <f>VLOOKUP(A10, Safety!A:B, 2, FALSE)</f>
        <v>73.1</v>
      </c>
      <c r="E10" s="5">
        <f>VLOOKUP(A10, Health!A:B, 2, FALSE)</f>
        <v>79.3</v>
      </c>
      <c r="F10" s="5">
        <f>VLOOKUP(A10, Political!A:H, 8, FALSE)</f>
        <v>91.46326319</v>
      </c>
      <c r="G10" s="6">
        <f>VLOOKUP(A10, Pollution!A:B, 2, FALSE)</f>
        <v>21.4</v>
      </c>
      <c r="H10" s="7">
        <v>2185.0</v>
      </c>
      <c r="I10" s="5">
        <f>VLOOKUP(A10, English!A:C, 3, FALSE)</f>
        <v>636</v>
      </c>
      <c r="J10" s="5">
        <f>VLOOKUP(A10, Openness!A:C, 2, FALSE)</f>
        <v>41</v>
      </c>
      <c r="K10" s="5">
        <f>VLOOKUP(A10, Scenic!A:B, 2, FALSE)</f>
        <v>21</v>
      </c>
      <c r="L10" s="5">
        <f>VLOOKUP(A10, Disaster!A:H, 3, FALSE)</f>
        <v>4.11</v>
      </c>
    </row>
    <row r="11" ht="15.75" customHeight="1">
      <c r="A11" s="4" t="s">
        <v>21</v>
      </c>
      <c r="B11" s="4">
        <v>3645.41</v>
      </c>
      <c r="C11" s="1">
        <f>VLOOKUP(A11, Sheet1!A:B, 2, FALSE)</f>
        <v>49.4</v>
      </c>
      <c r="D11" s="5">
        <f>VLOOKUP(A11, Safety!A:B, 2, FALSE)</f>
        <v>67</v>
      </c>
      <c r="E11" s="5">
        <f>VLOOKUP(A11, Health!A:B, 2, FALSE)</f>
        <v>75.6</v>
      </c>
      <c r="F11" s="5">
        <f>VLOOKUP(A11, Political!A:H, 8, FALSE)</f>
        <v>94.47934341</v>
      </c>
      <c r="G11" s="6">
        <f>VLOOKUP(A11, Pollution!A:B, 2, FALSE)</f>
        <v>18.2</v>
      </c>
      <c r="H11" s="7">
        <v>1821.0</v>
      </c>
      <c r="I11" s="5">
        <f>VLOOKUP(A11, English!A:C, 3, FALSE)</f>
        <v>610</v>
      </c>
      <c r="J11" s="5">
        <f>VLOOKUP(A11, Openness!A:C, 2, FALSE)</f>
        <v>52</v>
      </c>
      <c r="K11" s="5">
        <f>VLOOKUP(A11, Scenic!A:B, 2, FALSE)</f>
        <v>7</v>
      </c>
      <c r="L11" s="5">
        <f>VLOOKUP(A11, Disaster!A:H, 3, FALSE)</f>
        <v>2.61</v>
      </c>
    </row>
    <row r="12" ht="15.75" customHeight="1">
      <c r="A12" s="4" t="s">
        <v>22</v>
      </c>
      <c r="B12" s="4">
        <v>3572.87</v>
      </c>
      <c r="C12" s="1">
        <f>VLOOKUP(A12, Sheet1!A:B, 2, FALSE)</f>
        <v>46.3</v>
      </c>
      <c r="D12" s="5">
        <f>VLOOKUP(A12, Safety!A:B, 2, FALSE)</f>
        <v>51.7</v>
      </c>
      <c r="E12" s="5">
        <f>VLOOKUP(A12, Health!A:B, 2, FALSE)</f>
        <v>72.7</v>
      </c>
      <c r="F12" s="5">
        <f>VLOOKUP(A12, Political!A:H, 8, FALSE)</f>
        <v>84.89280891</v>
      </c>
      <c r="G12" s="6">
        <f>VLOOKUP(A12, Pollution!A:B, 2, FALSE)</f>
        <v>40.4</v>
      </c>
      <c r="H12" s="7">
        <v>2219.0</v>
      </c>
      <c r="I12" s="5">
        <v>700.0</v>
      </c>
      <c r="J12" s="5">
        <f>VLOOKUP(A12, Openness!A:C, 2, FALSE)</f>
        <v>42</v>
      </c>
      <c r="K12" s="5">
        <f>VLOOKUP(A12, Scenic!A:B, 2, FALSE)</f>
        <v>45</v>
      </c>
      <c r="L12" s="5">
        <f>VLOOKUP(A12, Disaster!A:H, 3, FALSE)</f>
        <v>5.7</v>
      </c>
    </row>
    <row r="13" ht="15.75" customHeight="1">
      <c r="A13" s="4" t="s">
        <v>23</v>
      </c>
      <c r="B13" s="4">
        <v>3520.47</v>
      </c>
      <c r="C13" s="1">
        <f>VLOOKUP(A13, Sheet1!A:B, 2, FALSE)</f>
        <v>47.8</v>
      </c>
      <c r="D13" s="5">
        <f>VLOOKUP(A13, Safety!A:B, 2, FALSE)</f>
        <v>84.5</v>
      </c>
      <c r="E13" s="5">
        <f>VLOOKUP(A13, Health!A:B, 2, FALSE)</f>
        <v>70.6</v>
      </c>
      <c r="F13" s="5">
        <f>VLOOKUP(A13, Political!A:H, 8, FALSE)</f>
        <v>71.24147956</v>
      </c>
      <c r="G13" s="6">
        <f>VLOOKUP(A13, Pollution!A:B, 2, FALSE)</f>
        <v>48.2</v>
      </c>
      <c r="H13" s="7">
        <v>1720.0</v>
      </c>
      <c r="I13" s="5">
        <f>VLOOKUP(A13, English!A:C, 3, FALSE)</f>
        <v>489</v>
      </c>
      <c r="J13" s="5">
        <f>VLOOKUP(A13, Openness!A:C, 2, FALSE)</f>
        <v>16</v>
      </c>
      <c r="K13" s="5">
        <f>VLOOKUP(A13, Scenic!A:B, 2, FALSE)</f>
        <v>60</v>
      </c>
      <c r="L13" s="5">
        <f>VLOOKUP(A13, Disaster!A:H, 3, FALSE)</f>
        <v>4.54</v>
      </c>
    </row>
    <row r="14" ht="15.75" customHeight="1">
      <c r="A14" s="4" t="s">
        <v>24</v>
      </c>
      <c r="B14" s="4">
        <v>3447.98</v>
      </c>
      <c r="C14" s="1">
        <f>VLOOKUP(A14, Sheet1!A:B, 2, FALSE)</f>
        <v>41.2</v>
      </c>
      <c r="D14" s="5">
        <f>VLOOKUP(A14, Safety!A:B, 2, FALSE)</f>
        <v>51.8</v>
      </c>
      <c r="E14" s="5">
        <f>VLOOKUP(A14, Health!A:B, 2, FALSE)</f>
        <v>68.4</v>
      </c>
      <c r="F14" s="5">
        <f>VLOOKUP(A14, Political!A:H, 8, FALSE)</f>
        <v>96.84928258</v>
      </c>
      <c r="G14" s="6">
        <f>VLOOKUP(A14, Pollution!A:B, 2, FALSE)</f>
        <v>26.3</v>
      </c>
      <c r="H14" s="7">
        <v>3149.0</v>
      </c>
      <c r="I14" s="5">
        <v>700.0</v>
      </c>
      <c r="J14" s="5">
        <f>VLOOKUP(A14, Openness!A:C, 2, FALSE)</f>
        <v>21</v>
      </c>
      <c r="K14" s="5">
        <f>VLOOKUP(A14, Scenic!A:B, 2, FALSE)</f>
        <v>2</v>
      </c>
      <c r="L14" s="5">
        <f>VLOOKUP(A14, Disaster!A:H, 3, FALSE)</f>
        <v>14.34</v>
      </c>
    </row>
    <row r="15" ht="15.75" customHeight="1">
      <c r="A15" s="4" t="s">
        <v>25</v>
      </c>
      <c r="B15" s="4">
        <v>3441.52</v>
      </c>
      <c r="C15" s="1">
        <f>VLOOKUP(A15, Sheet1!A:B, 2, FALSE)</f>
        <v>50.6</v>
      </c>
      <c r="D15" s="5">
        <f>VLOOKUP(A15, Safety!A:B, 2, FALSE)</f>
        <v>52.4</v>
      </c>
      <c r="E15" s="5">
        <f>VLOOKUP(A15, Health!A:B, 2, FALSE)</f>
        <v>51.5</v>
      </c>
      <c r="F15" s="5">
        <f>VLOOKUP(A15, Political!A:H, 8, FALSE)</f>
        <v>91.93662008</v>
      </c>
      <c r="G15" s="6">
        <f>VLOOKUP(A15, Pollution!A:B, 2, FALSE)</f>
        <v>34.4</v>
      </c>
      <c r="H15" s="7">
        <v>2068.0</v>
      </c>
      <c r="I15" s="5">
        <v>700.0</v>
      </c>
      <c r="J15" s="5">
        <f>VLOOKUP(A15, Openness!A:C, 2, FALSE)</f>
        <v>29</v>
      </c>
      <c r="K15" s="5">
        <f>VLOOKUP(A15, Scenic!A:B, 2, FALSE)</f>
        <v>11</v>
      </c>
      <c r="L15" s="5">
        <f>VLOOKUP(A15, Disaster!A:H, 3, FALSE)</f>
        <v>2.55</v>
      </c>
    </row>
    <row r="16" ht="15.75" customHeight="1">
      <c r="A16" s="4" t="s">
        <v>26</v>
      </c>
      <c r="B16" s="4">
        <v>3372.51</v>
      </c>
      <c r="C16" s="1">
        <f>VLOOKUP(A16, Sheet1!A:B, 2, FALSE)</f>
        <v>41.7</v>
      </c>
      <c r="D16" s="5">
        <f>VLOOKUP(A16, Safety!A:B, 2, FALSE)</f>
        <v>84.2</v>
      </c>
      <c r="E16" s="5">
        <f>VLOOKUP(A16, Health!A:B, 2, FALSE)</f>
        <v>73.4</v>
      </c>
      <c r="F16" s="5">
        <f>VLOOKUP(A16, Political!A:H, 8, FALSE)</f>
        <v>71.51317088</v>
      </c>
      <c r="G16" s="6">
        <f>VLOOKUP(A16, Pollution!A:B, 2, FALSE)</f>
        <v>60</v>
      </c>
      <c r="H16" s="7">
        <v>1851.0</v>
      </c>
      <c r="I16" s="5">
        <f>VLOOKUP(A16, English!A:C, 3, FALSE)</f>
        <v>480</v>
      </c>
      <c r="J16" s="5">
        <f>VLOOKUP(A16, Openness!A:C, 2, FALSE)</f>
        <v>22</v>
      </c>
      <c r="K16" s="5">
        <f>VLOOKUP(A16, Scenic!A:B, 2, FALSE)</f>
        <v>69</v>
      </c>
      <c r="L16" s="5">
        <f>VLOOKUP(A16, Disaster!A:H, 3, FALSE)</f>
        <v>0.94</v>
      </c>
    </row>
    <row r="17" ht="15.75" customHeight="1">
      <c r="A17" s="9" t="s">
        <v>27</v>
      </c>
      <c r="B17" s="9">
        <v>3301.93</v>
      </c>
      <c r="C17" s="10">
        <f>VLOOKUP(A17, Sheet1!A:B, 2, FALSE)</f>
        <v>48.3</v>
      </c>
      <c r="D17" s="11">
        <f>VLOOKUP(A17, Safety!A:B, 2, FALSE)</f>
        <v>68.2</v>
      </c>
      <c r="E17" s="11">
        <f>VLOOKUP(A17, Health!A:B, 2, FALSE)</f>
        <v>73.2</v>
      </c>
      <c r="F17" s="11">
        <f>VLOOKUP(A17, Political!A:H, 8, FALSE)</f>
        <v>67.18780772</v>
      </c>
      <c r="G17" s="12">
        <f>VLOOKUP(A17, Pollution!A:B, 2, FALSE)</f>
        <v>56.8</v>
      </c>
      <c r="H17" s="13">
        <v>2897.0</v>
      </c>
      <c r="I17" s="14">
        <f>VLOOKUP(A17, English!A:C, 3, FALSE)</f>
        <v>522</v>
      </c>
      <c r="J17" s="11" t="str">
        <f>VLOOKUP(A17, Openness!A:C, 2, FALSE)</f>
        <v>#N/A</v>
      </c>
      <c r="K17" s="11">
        <f>VLOOKUP(A17, Scenic!A:B, 2, FALSE)</f>
        <v>87</v>
      </c>
      <c r="L17" s="11">
        <f>VLOOKUP(A17, Disaster!A:H, 3, FALSE)</f>
        <v>3.81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4" t="s">
        <v>28</v>
      </c>
      <c r="B18" s="4">
        <v>3287.08</v>
      </c>
      <c r="C18" s="1">
        <f>VLOOKUP(A18, Sheet1!A:B, 2, FALSE)</f>
        <v>42.4</v>
      </c>
      <c r="D18" s="5">
        <f>VLOOKUP(A18, Safety!A:B, 2, FALSE)</f>
        <v>60.6</v>
      </c>
      <c r="E18" s="5">
        <f>VLOOKUP(A18, Health!A:B, 2, FALSE)</f>
        <v>71.9</v>
      </c>
      <c r="F18" s="5">
        <f>VLOOKUP(A18, Political!A:H, 8, FALSE)</f>
        <v>87.59686534</v>
      </c>
      <c r="G18" s="6">
        <f>VLOOKUP(A18, Pollution!A:B, 2, FALSE)</f>
        <v>28.7</v>
      </c>
      <c r="H18" s="7">
        <v>2327.0</v>
      </c>
      <c r="I18" s="5">
        <f>VLOOKUP(A18, English!A:C, 3, FALSE)</f>
        <v>598</v>
      </c>
      <c r="J18" s="5">
        <f>VLOOKUP(A18, Openness!A:C, 2, FALSE)</f>
        <v>51</v>
      </c>
      <c r="K18" s="5">
        <f>VLOOKUP(A18, Scenic!A:B, 2, FALSE)</f>
        <v>50</v>
      </c>
      <c r="L18" s="5">
        <f>VLOOKUP(A18, Disaster!A:H, 3, FALSE)</f>
        <v>4.1</v>
      </c>
    </row>
    <row r="19" ht="15.75" customHeight="1">
      <c r="A19" s="4" t="s">
        <v>29</v>
      </c>
      <c r="B19" s="4">
        <v>3072.84</v>
      </c>
      <c r="C19" s="1">
        <f>VLOOKUP(A19, Sheet1!A:B, 2, FALSE)</f>
        <v>38.7</v>
      </c>
      <c r="D19" s="5">
        <f>VLOOKUP(A19, Safety!A:B, 2, FALSE)</f>
        <v>52</v>
      </c>
      <c r="E19" s="5">
        <f>VLOOKUP(A19, Health!A:B, 2, FALSE)</f>
        <v>68.3</v>
      </c>
      <c r="F19" s="5">
        <f>VLOOKUP(A19, Political!A:H, 8, FALSE)</f>
        <v>91.94176865</v>
      </c>
      <c r="G19" s="6">
        <f>VLOOKUP(A19, Pollution!A:B, 2, FALSE)</f>
        <v>17.7</v>
      </c>
      <c r="H19" s="7">
        <v>1962.0</v>
      </c>
      <c r="I19" s="5">
        <f>VLOOKUP(A19, English!A:C, 3, FALSE)</f>
        <v>608</v>
      </c>
      <c r="J19" s="5">
        <f>VLOOKUP(A19, Openness!A:C, 2, FALSE)</f>
        <v>48</v>
      </c>
      <c r="K19" s="5">
        <f>VLOOKUP(A19, Scenic!A:B, 2, FALSE)</f>
        <v>14</v>
      </c>
      <c r="L19" s="5">
        <f>VLOOKUP(A19, Disaster!A:H, 3, FALSE)</f>
        <v>3.23</v>
      </c>
    </row>
    <row r="20" ht="15.75" customHeight="1">
      <c r="A20" s="4" t="s">
        <v>30</v>
      </c>
      <c r="B20" s="4">
        <v>3038.11</v>
      </c>
      <c r="C20" s="1">
        <f>VLOOKUP(A20, Sheet1!A:B, 2, FALSE)</f>
        <v>46.1</v>
      </c>
      <c r="D20" s="5">
        <f>VLOOKUP(A20, Safety!A:B, 2, FALSE)</f>
        <v>54.3</v>
      </c>
      <c r="E20" s="5">
        <f>VLOOKUP(A20, Health!A:B, 2, FALSE)</f>
        <v>68.7</v>
      </c>
      <c r="F20" s="5">
        <f>VLOOKUP(A20, Political!A:H, 8, FALSE)</f>
        <v>90.51657613</v>
      </c>
      <c r="G20" s="6">
        <f>VLOOKUP(A20, Pollution!A:B, 2, FALSE)</f>
        <v>29.7</v>
      </c>
      <c r="H20" s="7">
        <v>2015.0</v>
      </c>
      <c r="I20" s="5">
        <v>700.0</v>
      </c>
      <c r="J20" s="5">
        <f>VLOOKUP(A20, Openness!A:C, 2, FALSE)</f>
        <v>39</v>
      </c>
      <c r="K20" s="5">
        <f>VLOOKUP(A20, Scenic!A:B, 2, FALSE)</f>
        <v>18</v>
      </c>
      <c r="L20" s="5">
        <f>VLOOKUP(A20, Disaster!A:H, 3, FALSE)</f>
        <v>18.89</v>
      </c>
    </row>
    <row r="21" ht="15.75" customHeight="1">
      <c r="A21" s="4" t="s">
        <v>31</v>
      </c>
      <c r="B21" s="4">
        <v>2987.09</v>
      </c>
      <c r="C21" s="1">
        <f>VLOOKUP(A21, Sheet1!A:B, 2, FALSE)</f>
        <v>41.1</v>
      </c>
      <c r="D21" s="5">
        <f>VLOOKUP(A21, Safety!A:B, 2, FALSE)</f>
        <v>73.2</v>
      </c>
      <c r="E21" s="5">
        <f>VLOOKUP(A21, Health!A:B, 2, FALSE)</f>
        <v>77.5</v>
      </c>
      <c r="F21" s="5">
        <f>VLOOKUP(A21, Political!A:H, 8, FALSE)</f>
        <v>93.6725502</v>
      </c>
      <c r="G21" s="6">
        <f>VLOOKUP(A21, Pollution!A:B, 2, FALSE)</f>
        <v>11.9</v>
      </c>
      <c r="H21" s="7">
        <v>1737.0</v>
      </c>
      <c r="I21" s="5">
        <f>VLOOKUP(A21, English!A:C, 3, FALSE)</f>
        <v>590</v>
      </c>
      <c r="J21" s="5">
        <f>VLOOKUP(A21, Openness!A:C, 2, FALSE)</f>
        <v>50</v>
      </c>
      <c r="K21" s="5">
        <f>VLOOKUP(A21, Scenic!A:B, 2, FALSE)</f>
        <v>17</v>
      </c>
      <c r="L21" s="5">
        <f>VLOOKUP(A21, Disaster!A:H, 3, FALSE)</f>
        <v>1.54</v>
      </c>
    </row>
    <row r="22" ht="15.75" customHeight="1">
      <c r="A22" s="4" t="s">
        <v>32</v>
      </c>
      <c r="B22" s="4">
        <v>2818.77</v>
      </c>
      <c r="C22" s="1">
        <f>VLOOKUP(A22, Sheet1!A:B, 2, FALSE)</f>
        <v>36</v>
      </c>
      <c r="D22" s="5">
        <f>VLOOKUP(A22, Safety!A:B, 2, FALSE)</f>
        <v>75.5</v>
      </c>
      <c r="E22" s="5" t="str">
        <f>VLOOKUP(A22, Health!A:B, 2, FALSE)</f>
        <v>#N/A</v>
      </c>
      <c r="F22" s="5">
        <f>VLOOKUP(A22, Political!A:H, 8, FALSE)</f>
        <v>54.02482828</v>
      </c>
      <c r="G22" s="6">
        <f>VLOOKUP(A22, Pollution!A:B, 2, FALSE)</f>
        <v>71.6</v>
      </c>
      <c r="H22" s="8"/>
      <c r="I22" s="5" t="str">
        <f>VLOOKUP(A22, English!A:C, 3, FALSE)</f>
        <v>#N/A</v>
      </c>
      <c r="J22" s="5">
        <f>VLOOKUP(A22, Openness!A:C, 2, FALSE)</f>
        <v>18</v>
      </c>
      <c r="K22" s="5">
        <f>VLOOKUP(A22, Scenic!A:B, 2, FALSE)</f>
        <v>84</v>
      </c>
      <c r="L22" s="5">
        <f>VLOOKUP(A22, Disaster!A:H, 3, FALSE)</f>
        <v>0.94</v>
      </c>
    </row>
    <row r="23" ht="15.75" customHeight="1">
      <c r="A23" s="4" t="s">
        <v>33</v>
      </c>
      <c r="B23" s="4">
        <v>2798.06</v>
      </c>
      <c r="C23" s="1">
        <f>VLOOKUP(A23, Sheet1!A:B, 2, FALSE)</f>
        <v>40.1</v>
      </c>
      <c r="D23" s="5">
        <f>VLOOKUP(A23, Safety!A:B, 2, FALSE)</f>
        <v>50.6</v>
      </c>
      <c r="E23" s="5">
        <f>VLOOKUP(A23, Health!A:B, 2, FALSE)</f>
        <v>75.9</v>
      </c>
      <c r="F23" s="5">
        <f>VLOOKUP(A23, Political!A:H, 8, FALSE)</f>
        <v>82.46813711</v>
      </c>
      <c r="G23" s="6">
        <f>VLOOKUP(A23, Pollution!A:B, 2, FALSE)</f>
        <v>49.5</v>
      </c>
      <c r="H23" s="7">
        <v>2389.0</v>
      </c>
      <c r="I23" s="5">
        <f>VLOOKUP(A23, English!A:C, 3, FALSE)</f>
        <v>592</v>
      </c>
      <c r="J23" s="5">
        <f>VLOOKUP(A23, Openness!A:C, 2, FALSE)</f>
        <v>31</v>
      </c>
      <c r="K23" s="5">
        <f>VLOOKUP(A23, Scenic!A:B, 2, FALSE)</f>
        <v>47</v>
      </c>
      <c r="L23" s="5">
        <f>VLOOKUP(A23, Disaster!A:H, 3, FALSE)</f>
        <v>5.1</v>
      </c>
    </row>
    <row r="24" ht="15.75" customHeight="1">
      <c r="A24" s="4" t="s">
        <v>34</v>
      </c>
      <c r="B24" s="4">
        <v>2786.82</v>
      </c>
      <c r="C24" s="1">
        <f>VLOOKUP(A24, Sheet1!A:B, 2, FALSE)</f>
        <v>43.6</v>
      </c>
      <c r="D24" s="5">
        <f>VLOOKUP(A24, Safety!A:B, 2, FALSE)</f>
        <v>70.5</v>
      </c>
      <c r="E24" s="5">
        <f>VLOOKUP(A24, Health!A:B, 2, FALSE)</f>
        <v>77.9</v>
      </c>
      <c r="F24" s="5">
        <f>VLOOKUP(A24, Political!A:H, 8, FALSE)</f>
        <v>87.59479777</v>
      </c>
      <c r="G24" s="6">
        <f>VLOOKUP(A24, Pollution!A:B, 2, FALSE)</f>
        <v>21.2</v>
      </c>
      <c r="H24" s="7">
        <v>2382.0</v>
      </c>
      <c r="I24" s="5">
        <f>VLOOKUP(A24, English!A:C, 3, FALSE)</f>
        <v>600</v>
      </c>
      <c r="J24" s="5">
        <f>VLOOKUP(A24, Openness!A:C, 2, FALSE)</f>
        <v>49</v>
      </c>
      <c r="K24" s="5">
        <f>VLOOKUP(A24, Scenic!A:B, 2, FALSE)</f>
        <v>10</v>
      </c>
      <c r="L24" s="5">
        <f>VLOOKUP(A24, Disaster!A:H, 3, FALSE)</f>
        <v>1.16</v>
      </c>
    </row>
    <row r="25" ht="15.75" customHeight="1">
      <c r="A25" s="4" t="s">
        <v>35</v>
      </c>
      <c r="B25" s="4">
        <v>2785.28</v>
      </c>
      <c r="C25" s="1">
        <f>VLOOKUP(A25, Sheet1!A:B, 2, FALSE)</f>
        <v>41</v>
      </c>
      <c r="D25" s="5">
        <f>VLOOKUP(A25, Safety!A:B, 2, FALSE)</f>
        <v>44.6</v>
      </c>
      <c r="E25" s="5">
        <f>VLOOKUP(A25, Health!A:B, 2, FALSE)</f>
        <v>77.7</v>
      </c>
      <c r="F25" s="5">
        <f>VLOOKUP(A25, Political!A:H, 8, FALSE)</f>
        <v>79.99217224</v>
      </c>
      <c r="G25" s="6">
        <f>VLOOKUP(A25, Pollution!A:B, 2, FALSE)</f>
        <v>43.7</v>
      </c>
      <c r="H25" s="7">
        <v>2710.0</v>
      </c>
      <c r="I25" s="5">
        <f>VLOOKUP(A25, English!A:C, 3, FALSE)</f>
        <v>524</v>
      </c>
      <c r="J25" s="5">
        <f>VLOOKUP(A25, Openness!A:C, 2, FALSE)</f>
        <v>34</v>
      </c>
      <c r="K25" s="5">
        <f>VLOOKUP(A25, Scenic!A:B, 2, FALSE)</f>
        <v>20</v>
      </c>
      <c r="L25" s="5">
        <f>VLOOKUP(A25, Disaster!A:H, 3, FALSE)</f>
        <v>7.54</v>
      </c>
    </row>
    <row r="26" ht="15.75" customHeight="1">
      <c r="A26" s="4" t="s">
        <v>36</v>
      </c>
      <c r="B26" s="4">
        <v>2734.78</v>
      </c>
      <c r="C26" s="1">
        <f>VLOOKUP(A26, Sheet1!A:B, 2, FALSE)</f>
        <v>32.2</v>
      </c>
      <c r="D26" s="5">
        <f>VLOOKUP(A26, Safety!A:B, 2, FALSE)</f>
        <v>67.2</v>
      </c>
      <c r="E26" s="5">
        <f>VLOOKUP(A26, Health!A:B, 2, FALSE)</f>
        <v>58.4</v>
      </c>
      <c r="F26" s="5">
        <f>VLOOKUP(A26, Political!A:H, 8, FALSE)</f>
        <v>54.09571362</v>
      </c>
      <c r="G26" s="6">
        <f>VLOOKUP(A26, Pollution!A:B, 2, FALSE)</f>
        <v>69.4</v>
      </c>
      <c r="H26" s="7">
        <v>2087.0</v>
      </c>
      <c r="I26" s="5">
        <f>VLOOKUP(A26, English!A:C, 3, FALSE)</f>
        <v>456</v>
      </c>
      <c r="J26" s="5">
        <f>VLOOKUP(A26, Openness!A:C, 2, FALSE)</f>
        <v>53</v>
      </c>
      <c r="K26" s="5">
        <f>VLOOKUP(A26, Scenic!A:B, 2, FALSE)</f>
        <v>88</v>
      </c>
      <c r="L26" s="5">
        <f>VLOOKUP(A26, Disaster!A:H, 3, FALSE)</f>
        <v>2.77</v>
      </c>
    </row>
    <row r="27" ht="15.75" customHeight="1">
      <c r="A27" s="4" t="s">
        <v>37</v>
      </c>
      <c r="B27" s="4">
        <v>2495.16</v>
      </c>
      <c r="C27" s="1">
        <f>VLOOKUP(A27, Sheet1!A:B, 2, FALSE)</f>
        <v>38.2</v>
      </c>
      <c r="D27" s="5">
        <f>VLOOKUP(A27, Safety!A:B, 2, FALSE)</f>
        <v>75.1</v>
      </c>
      <c r="E27" s="5">
        <f>VLOOKUP(A27, Health!A:B, 2, FALSE)</f>
        <v>82.8</v>
      </c>
      <c r="F27" s="5">
        <f>VLOOKUP(A27, Political!A:H, 8, FALSE)</f>
        <v>7.571015437</v>
      </c>
      <c r="G27" s="6">
        <f>VLOOKUP(A27, Pollution!A:B, 2, FALSE)</f>
        <v>61.4</v>
      </c>
      <c r="H27" s="7">
        <v>1890.0</v>
      </c>
      <c r="I27" s="5">
        <f>VLOOKUP(A27, English!A:C, 3, FALSE)</f>
        <v>523</v>
      </c>
      <c r="J27" s="5">
        <f>VLOOKUP(A27, Openness!A:C, 2, FALSE)</f>
        <v>36</v>
      </c>
      <c r="K27" s="5">
        <f>VLOOKUP(A27, Scenic!A:B, 2, FALSE)</f>
        <v>70</v>
      </c>
      <c r="L27" s="5">
        <f>VLOOKUP(A27, Disaster!A:H, 3, FALSE)</f>
        <v>12.38</v>
      </c>
    </row>
    <row r="28" ht="15.75" customHeight="1">
      <c r="A28" s="4" t="s">
        <v>38</v>
      </c>
      <c r="B28" s="4">
        <v>2410.53</v>
      </c>
      <c r="C28" s="1">
        <f>VLOOKUP(A28, Sheet1!A:B, 2, FALSE)</f>
        <v>41.5</v>
      </c>
      <c r="D28" s="5">
        <f>VLOOKUP(A28, Safety!A:B, 2, FALSE)</f>
        <v>38.5</v>
      </c>
      <c r="E28" s="5">
        <f>VLOOKUP(A28, Health!A:B, 2, FALSE)</f>
        <v>58.5</v>
      </c>
      <c r="F28" s="5">
        <f>VLOOKUP(A28, Political!A:H, 8, FALSE)</f>
        <v>58.6912384</v>
      </c>
      <c r="G28" s="6">
        <f>VLOOKUP(A28, Pollution!A:B, 2, FALSE)</f>
        <v>47.9</v>
      </c>
      <c r="H28" s="8"/>
      <c r="I28" s="5">
        <v>700.0</v>
      </c>
      <c r="J28" s="5" t="str">
        <f>VLOOKUP(A28, Openness!A:C, 2, FALSE)</f>
        <v>#N/A</v>
      </c>
      <c r="K28" s="5" t="str">
        <f>VLOOKUP(A28, Scenic!A:B, 2, FALSE)</f>
        <v>#N/A</v>
      </c>
      <c r="L28" s="5" t="str">
        <f>VLOOKUP(A28, Disaster!A:H, 3, FALSE)</f>
        <v>#N/A</v>
      </c>
    </row>
    <row r="29" ht="15.75" customHeight="1">
      <c r="A29" s="4" t="s">
        <v>39</v>
      </c>
      <c r="B29" s="4">
        <v>2386.32</v>
      </c>
      <c r="C29" s="1">
        <f>VLOOKUP(A29, Sheet1!A:B, 2, FALSE)</f>
        <v>28.4</v>
      </c>
      <c r="D29" s="5">
        <f>VLOOKUP(A29, Safety!A:B, 2, FALSE)</f>
        <v>76.1</v>
      </c>
      <c r="E29" s="5">
        <f>VLOOKUP(A29, Health!A:B, 2, FALSE)</f>
        <v>61.8</v>
      </c>
      <c r="F29" s="5">
        <f>VLOOKUP(A29, Political!A:H, 8, FALSE)</f>
        <v>54.25345818</v>
      </c>
      <c r="G29" s="6">
        <f>VLOOKUP(A29, Pollution!A:B, 2, FALSE)</f>
        <v>62.5</v>
      </c>
      <c r="H29" s="7">
        <v>1986.0</v>
      </c>
      <c r="I29" s="5">
        <f>VLOOKUP(A29, English!A:C, 3, FALSE)</f>
        <v>417</v>
      </c>
      <c r="J29" s="5">
        <f>VLOOKUP(A29, Openness!A:C, 2, FALSE)</f>
        <v>25</v>
      </c>
      <c r="K29" s="5">
        <f>VLOOKUP(A29, Scenic!A:B, 2, FALSE)</f>
        <v>83</v>
      </c>
      <c r="L29" s="5">
        <f>VLOOKUP(A29, Disaster!A:H, 3, FALSE)</f>
        <v>9.34</v>
      </c>
    </row>
    <row r="30" ht="15.75" customHeight="1">
      <c r="A30" s="4" t="s">
        <v>40</v>
      </c>
      <c r="B30" s="4">
        <v>2092.09</v>
      </c>
      <c r="C30" s="1">
        <f>VLOOKUP(A30, Sheet1!A:B, 2, FALSE)</f>
        <v>31.6</v>
      </c>
      <c r="D30" s="5">
        <f>VLOOKUP(A30, Safety!A:B, 2, FALSE)</f>
        <v>77.1</v>
      </c>
      <c r="E30" s="5">
        <f>VLOOKUP(A30, Health!A:B, 2, FALSE)</f>
        <v>80</v>
      </c>
      <c r="F30" s="5">
        <f>VLOOKUP(A30, Political!A:H, 8, FALSE)</f>
        <v>89.75146866</v>
      </c>
      <c r="G30" s="6">
        <f>VLOOKUP(A30, Pollution!A:B, 2, FALSE)</f>
        <v>38.5</v>
      </c>
      <c r="H30" s="7">
        <v>2190.0</v>
      </c>
      <c r="I30" s="5">
        <f>VLOOKUP(A30, English!A:C, 3, FALSE)</f>
        <v>454</v>
      </c>
      <c r="J30" s="5">
        <f>VLOOKUP(A30, Openness!A:C, 2, FALSE)</f>
        <v>35</v>
      </c>
      <c r="K30" s="5">
        <f>VLOOKUP(A30, Scenic!A:B, 2, FALSE)</f>
        <v>23</v>
      </c>
      <c r="L30" s="5">
        <f>VLOOKUP(A30, Disaster!A:H, 3, FALSE)</f>
        <v>20.94</v>
      </c>
    </row>
    <row r="31" ht="15.75" customHeight="1">
      <c r="A31" s="4" t="s">
        <v>41</v>
      </c>
      <c r="B31" s="4">
        <v>2068.7</v>
      </c>
      <c r="C31" s="1">
        <f>VLOOKUP(A31, Sheet1!A:B, 2, FALSE)</f>
        <v>27.5</v>
      </c>
      <c r="D31" s="5">
        <f>VLOOKUP(A31, Safety!A:B, 2, FALSE)</f>
        <v>81.7</v>
      </c>
      <c r="E31" s="5">
        <f>VLOOKUP(A31, Health!A:B, 2, FALSE)</f>
        <v>65.1</v>
      </c>
      <c r="F31" s="5">
        <f>VLOOKUP(A31, Political!A:H, 8, FALSE)</f>
        <v>57.81014601</v>
      </c>
      <c r="G31" s="6">
        <f>VLOOKUP(A31, Pollution!A:B, 2, FALSE)</f>
        <v>35</v>
      </c>
      <c r="H31" s="7">
        <v>1762.0</v>
      </c>
      <c r="I31" s="5">
        <f>VLOOKUP(A31, English!A:C, 3, FALSE)</f>
        <v>421</v>
      </c>
      <c r="J31" s="5">
        <f>VLOOKUP(A31, Openness!A:C, 2, FALSE)</f>
        <v>12</v>
      </c>
      <c r="K31" s="5">
        <f>VLOOKUP(A31, Scenic!A:B, 2, FALSE)</f>
        <v>79</v>
      </c>
      <c r="L31" s="5">
        <f>VLOOKUP(A31, Disaster!A:H, 3, FALSE)</f>
        <v>8.06</v>
      </c>
    </row>
    <row r="32" ht="15.75" customHeight="1">
      <c r="A32" s="15" t="s">
        <v>42</v>
      </c>
      <c r="B32" s="15">
        <v>2042.2</v>
      </c>
      <c r="C32" s="16">
        <f>VLOOKUP(A32, Sheet1!A:B, 2, FALSE)</f>
        <v>33.6</v>
      </c>
      <c r="D32" s="17">
        <f>VLOOKUP(A32, Safety!A:B, 2, FALSE)</f>
        <v>63.4</v>
      </c>
      <c r="E32" s="17">
        <f>VLOOKUP(A32, Health!A:B, 2, FALSE)</f>
        <v>77.3</v>
      </c>
      <c r="F32" s="17">
        <f>VLOOKUP(A32, Political!A:H, 8, FALSE)</f>
        <v>74.02274958</v>
      </c>
      <c r="G32" s="18">
        <f>VLOOKUP(A32, Pollution!A:B, 2, FALSE)</f>
        <v>35.4</v>
      </c>
      <c r="H32" s="13">
        <v>3001.0</v>
      </c>
      <c r="I32" s="17">
        <f>VLOOKUP(A32, English!A:C, 3, FALSE)</f>
        <v>538</v>
      </c>
      <c r="J32" s="17">
        <f>VLOOKUP(A32, Openness!A:C, 2, FALSE)</f>
        <v>11</v>
      </c>
      <c r="K32" s="17">
        <f>VLOOKUP(A32, Scenic!A:B, 2, FALSE)</f>
        <v>5</v>
      </c>
      <c r="L32" s="17">
        <f>VLOOKUP(A32, Disaster!A:H, 3, FALSE)</f>
        <v>9.74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4" t="s">
        <v>43</v>
      </c>
      <c r="B33" s="4">
        <v>1886.76</v>
      </c>
      <c r="C33" s="1">
        <f>VLOOKUP(A33, Sheet1!A:B, 2, FALSE)</f>
        <v>38.2</v>
      </c>
      <c r="D33" s="5">
        <f>VLOOKUP(A33, Safety!A:B, 2, FALSE)</f>
        <v>66.9</v>
      </c>
      <c r="E33" s="5">
        <f>VLOOKUP(A33, Health!A:B, 2, FALSE)</f>
        <v>57.1</v>
      </c>
      <c r="F33" s="5">
        <f>VLOOKUP(A33, Political!A:H, 8, FALSE)</f>
        <v>70.66255569</v>
      </c>
      <c r="G33" s="6">
        <f>VLOOKUP(A33, Pollution!A:B, 2, FALSE)</f>
        <v>55.3</v>
      </c>
      <c r="H33" s="7">
        <v>2823.0</v>
      </c>
      <c r="I33" s="5">
        <f>VLOOKUP(A33, English!A:C, 3, FALSE)</f>
        <v>558</v>
      </c>
      <c r="J33" s="5">
        <f>VLOOKUP(A33, Openness!A:C, 2, FALSE)</f>
        <v>17</v>
      </c>
      <c r="K33" s="5">
        <f>VLOOKUP(A33, Scenic!A:B, 2, FALSE)</f>
        <v>35</v>
      </c>
      <c r="L33" s="5">
        <f>VLOOKUP(A33, Disaster!A:H, 3, FALSE)</f>
        <v>3.5</v>
      </c>
    </row>
    <row r="34" ht="15.75" customHeight="1">
      <c r="A34" s="4" t="s">
        <v>44</v>
      </c>
      <c r="B34" s="4">
        <v>1838.18</v>
      </c>
      <c r="C34" s="1">
        <f>VLOOKUP(A34, Sheet1!A:B, 2, FALSE)</f>
        <v>36.3</v>
      </c>
      <c r="D34" s="5">
        <f>VLOOKUP(A34, Safety!A:B, 2, FALSE)</f>
        <v>53.1</v>
      </c>
      <c r="E34" s="5">
        <f>VLOOKUP(A34, Health!A:B, 2, FALSE)</f>
        <v>65.1</v>
      </c>
      <c r="F34" s="5">
        <f>VLOOKUP(A34, Political!A:H, 8, FALSE)</f>
        <v>70.40189044</v>
      </c>
      <c r="G34" s="6">
        <f>VLOOKUP(A34, Pollution!A:B, 2, FALSE)</f>
        <v>53.8</v>
      </c>
      <c r="H34" s="7">
        <v>2758.0</v>
      </c>
      <c r="I34" s="5">
        <f>VLOOKUP(A34, English!A:C, 3, FALSE)</f>
        <v>528</v>
      </c>
      <c r="J34" s="5">
        <f>VLOOKUP(A34, Openness!A:C, 2, FALSE)</f>
        <v>33</v>
      </c>
      <c r="K34" s="5">
        <f>VLOOKUP(A34, Scenic!A:B, 2, FALSE)</f>
        <v>3</v>
      </c>
      <c r="L34" s="5">
        <f>VLOOKUP(A34, Disaster!A:H, 3, FALSE)</f>
        <v>11.11</v>
      </c>
    </row>
    <row r="35" ht="15.75" customHeight="1">
      <c r="A35" s="4" t="s">
        <v>45</v>
      </c>
      <c r="B35" s="4">
        <v>1701.33</v>
      </c>
      <c r="C35" s="1">
        <f>VLOOKUP(A35, Sheet1!A:B, 2, FALSE)</f>
        <v>31.5</v>
      </c>
      <c r="D35" s="5">
        <f>VLOOKUP(A35, Safety!A:B, 2, FALSE)</f>
        <v>73.5</v>
      </c>
      <c r="E35" s="5">
        <f>VLOOKUP(A35, Health!A:B, 2, FALSE)</f>
        <v>75.5</v>
      </c>
      <c r="F35" s="5">
        <f>VLOOKUP(A35, Political!A:H, 8, FALSE)</f>
        <v>82.73686218</v>
      </c>
      <c r="G35" s="6">
        <f>VLOOKUP(A35, Pollution!A:B, 2, FALSE)</f>
        <v>34.9</v>
      </c>
      <c r="H35" s="7">
        <v>2342.0</v>
      </c>
      <c r="I35" s="5">
        <f>VLOOKUP(A35, English!A:C, 3, FALSE)</f>
        <v>567</v>
      </c>
      <c r="J35" s="5">
        <f>VLOOKUP(A35, Openness!A:C, 2, FALSE)</f>
        <v>47</v>
      </c>
      <c r="K35" s="5">
        <f>VLOOKUP(A35, Scenic!A:B, 2, FALSE)</f>
        <v>53</v>
      </c>
      <c r="L35" s="5">
        <f>VLOOKUP(A35, Disaster!A:H, 3, FALSE)</f>
        <v>1.09</v>
      </c>
    </row>
    <row r="36" ht="15.75" customHeight="1">
      <c r="A36" s="4" t="s">
        <v>46</v>
      </c>
      <c r="B36" s="4">
        <v>1701.32</v>
      </c>
      <c r="C36" s="1">
        <f>VLOOKUP(A36, Sheet1!A:B, 2, FALSE)</f>
        <v>34.1</v>
      </c>
      <c r="D36" s="5">
        <f>VLOOKUP(A36, Safety!A:B, 2, FALSE)</f>
        <v>76.2</v>
      </c>
      <c r="E36" s="5">
        <f>VLOOKUP(A36, Health!A:B, 2, FALSE)</f>
        <v>66.1</v>
      </c>
      <c r="F36" s="5">
        <f>VLOOKUP(A36, Political!A:H, 8, FALSE)</f>
        <v>79.11837641</v>
      </c>
      <c r="G36" s="6">
        <f>VLOOKUP(A36, Pollution!A:B, 2, FALSE)</f>
        <v>22</v>
      </c>
      <c r="H36" s="7">
        <v>2372.0</v>
      </c>
      <c r="I36" s="5" t="str">
        <f>VLOOKUP(A36, English!A:C, 3, FALSE)</f>
        <v>#N/A</v>
      </c>
      <c r="J36" s="5" t="str">
        <f>VLOOKUP(A36, Openness!A:C, 2, FALSE)</f>
        <v>#N/A</v>
      </c>
      <c r="K36" s="5">
        <f>VLOOKUP(A36, Scenic!A:B, 2, FALSE)</f>
        <v>55</v>
      </c>
      <c r="L36" s="5">
        <f>VLOOKUP(A36, Disaster!A:H, 3, FALSE)</f>
        <v>2.1</v>
      </c>
    </row>
    <row r="37" ht="15.75" customHeight="1">
      <c r="A37" s="4" t="s">
        <v>47</v>
      </c>
      <c r="B37" s="4">
        <v>1688.65</v>
      </c>
      <c r="C37" s="1">
        <f>VLOOKUP(A37, Sheet1!A:B, 2, FALSE)</f>
        <v>33.8</v>
      </c>
      <c r="D37" s="5">
        <f>VLOOKUP(A37, Safety!A:B, 2, FALSE)</f>
        <v>76.3</v>
      </c>
      <c r="E37" s="5">
        <f>VLOOKUP(A37, Health!A:B, 2, FALSE)</f>
        <v>75.5</v>
      </c>
      <c r="F37" s="5">
        <f>VLOOKUP(A37, Political!A:H, 8, FALSE)</f>
        <v>86.46147664</v>
      </c>
      <c r="G37" s="6">
        <f>VLOOKUP(A37, Pollution!A:B, 2, FALSE)</f>
        <v>17</v>
      </c>
      <c r="H37" s="7">
        <v>1908.0</v>
      </c>
      <c r="I37" s="5">
        <f>VLOOKUP(A37, English!A:C, 3, FALSE)</f>
        <v>578</v>
      </c>
      <c r="J37" s="5" t="str">
        <f>VLOOKUP(A37, Openness!A:C, 2, FALSE)</f>
        <v>#N/A</v>
      </c>
      <c r="K37" s="5">
        <f>VLOOKUP(A37, Scenic!A:B, 2, FALSE)</f>
        <v>62</v>
      </c>
      <c r="L37" s="5">
        <f>VLOOKUP(A37, Disaster!A:H, 3, FALSE)</f>
        <v>1.77</v>
      </c>
    </row>
    <row r="38" ht="15.75" customHeight="1">
      <c r="A38" s="15" t="s">
        <v>48</v>
      </c>
      <c r="B38" s="15">
        <v>1644.77</v>
      </c>
      <c r="C38" s="16">
        <f>VLOOKUP(A38, Sheet1!A:B, 2, FALSE)</f>
        <v>30.5</v>
      </c>
      <c r="D38" s="17">
        <f>VLOOKUP(A38, Safety!A:B, 2, FALSE)</f>
        <v>82.9</v>
      </c>
      <c r="E38" s="17">
        <f>VLOOKUP(A38, Health!A:B, 2, FALSE)</f>
        <v>86.5</v>
      </c>
      <c r="F38" s="17">
        <f>VLOOKUP(A38, Political!A:H, 8, FALSE)</f>
        <v>85.49751663</v>
      </c>
      <c r="G38" s="18">
        <f>VLOOKUP(A38, Pollution!A:B, 2, FALSE)</f>
        <v>64.5</v>
      </c>
      <c r="H38" s="13">
        <v>2218.0</v>
      </c>
      <c r="I38" s="5" t="str">
        <f>VLOOKUP(A38, English!A:C, 3, FALSE)</f>
        <v>#N/A</v>
      </c>
      <c r="J38" s="17" t="str">
        <f>VLOOKUP(A38, Openness!A:C, 2, FALSE)</f>
        <v>#N/A</v>
      </c>
      <c r="K38" s="17" t="str">
        <f>VLOOKUP(A38, Scenic!A:B, 2, FALSE)</f>
        <v>#N/A</v>
      </c>
      <c r="L38" s="17" t="str">
        <f>VLOOKUP(A38, Disaster!A:H, 3, FALSE)</f>
        <v>#N/A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4" t="s">
        <v>49</v>
      </c>
      <c r="B39" s="4">
        <v>1632.99</v>
      </c>
      <c r="C39" s="1">
        <f>VLOOKUP(A39, Sheet1!A:B, 2, FALSE)</f>
        <v>28.8</v>
      </c>
      <c r="D39" s="5">
        <f>VLOOKUP(A39, Safety!A:B, 2, FALSE)</f>
        <v>71</v>
      </c>
      <c r="E39" s="5">
        <f>VLOOKUP(A39, Health!A:B, 2, FALSE)</f>
        <v>58</v>
      </c>
      <c r="F39" s="5">
        <f>VLOOKUP(A39, Political!A:H, 8, FALSE)</f>
        <v>68.08581543</v>
      </c>
      <c r="G39" s="6">
        <f>VLOOKUP(A39, Pollution!A:B, 2, FALSE)</f>
        <v>55.6</v>
      </c>
      <c r="H39" s="7">
        <v>2247.0</v>
      </c>
      <c r="I39" s="5">
        <f>VLOOKUP(A39, English!A:C, 3, FALSE)</f>
        <v>588</v>
      </c>
      <c r="J39" s="5">
        <f>VLOOKUP(A39, Openness!A:C, 2, FALSE)</f>
        <v>37</v>
      </c>
      <c r="K39" s="5">
        <f>VLOOKUP(A39, Scenic!A:B, 2, FALSE)</f>
        <v>43</v>
      </c>
      <c r="L39" s="5">
        <f>VLOOKUP(A39, Disaster!A:H, 3, FALSE)</f>
        <v>4.74</v>
      </c>
    </row>
    <row r="40" ht="15.75" customHeight="1">
      <c r="A40" s="4" t="s">
        <v>50</v>
      </c>
      <c r="B40" s="4">
        <v>1537.8</v>
      </c>
      <c r="C40" s="1">
        <f>VLOOKUP(A40, Sheet1!A:B, 2, FALSE)</f>
        <v>37.1</v>
      </c>
      <c r="D40" s="5">
        <f>VLOOKUP(A40, Safety!A:B, 2, FALSE)</f>
        <v>57</v>
      </c>
      <c r="E40" s="5">
        <f>VLOOKUP(A40, Health!A:B, 2, FALSE)</f>
        <v>52.5</v>
      </c>
      <c r="F40" s="5">
        <f>VLOOKUP(A40, Political!A:H, 8, FALSE)</f>
        <v>71.29947853</v>
      </c>
      <c r="G40" s="6">
        <f>VLOOKUP(A40, Pollution!A:B, 2, FALSE)</f>
        <v>75.8</v>
      </c>
      <c r="H40" s="8"/>
      <c r="I40" s="5" t="str">
        <f>VLOOKUP(A40, English!A:C, 3, FALSE)</f>
        <v>#N/A</v>
      </c>
      <c r="J40" s="5">
        <f>VLOOKUP(A40, Openness!A:C, 2, FALSE)</f>
        <v>32</v>
      </c>
      <c r="K40" s="5" t="str">
        <f>VLOOKUP(A40, Scenic!A:B, 2, FALSE)</f>
        <v>#N/A</v>
      </c>
      <c r="L40" s="5">
        <f>VLOOKUP(A40, Disaster!A:H, 3, FALSE)</f>
        <v>1.03</v>
      </c>
    </row>
    <row r="41" ht="15.75" customHeight="1">
      <c r="A41" s="4" t="s">
        <v>51</v>
      </c>
      <c r="B41" s="4">
        <v>1516.63</v>
      </c>
      <c r="C41" s="1">
        <f>VLOOKUP(A41, Sheet1!A:B, 2, FALSE)</f>
        <v>30.5</v>
      </c>
      <c r="D41" s="5">
        <f>VLOOKUP(A41, Safety!A:B, 2, FALSE)</f>
        <v>74.5</v>
      </c>
      <c r="E41" s="5">
        <f>VLOOKUP(A41, Health!A:B, 2, FALSE)</f>
        <v>64.7</v>
      </c>
      <c r="F41" s="5">
        <f>VLOOKUP(A41, Political!A:H, 8, FALSE)</f>
        <v>66.73998642</v>
      </c>
      <c r="G41" s="6">
        <f>VLOOKUP(A41, Pollution!A:B, 2, FALSE)</f>
        <v>30.8</v>
      </c>
      <c r="H41" s="7">
        <v>2524.0</v>
      </c>
      <c r="I41" s="5">
        <f>VLOOKUP(A41, English!A:C, 3, FALSE)</f>
        <v>607</v>
      </c>
      <c r="J41" s="5" t="str">
        <f>VLOOKUP(A41, Openness!A:C, 2, FALSE)</f>
        <v>#N/A</v>
      </c>
      <c r="K41" s="5">
        <f>VLOOKUP(A41, Scenic!A:B, 2, FALSE)</f>
        <v>28</v>
      </c>
      <c r="L41" s="5">
        <f>VLOOKUP(A41, Disaster!A:H, 3, FALSE)</f>
        <v>4.78</v>
      </c>
    </row>
    <row r="42" ht="15.75" customHeight="1">
      <c r="A42" s="4" t="s">
        <v>52</v>
      </c>
      <c r="B42" s="4">
        <v>1458.62</v>
      </c>
      <c r="C42" s="1">
        <f>VLOOKUP(A42, Sheet1!A:B, 2, FALSE)</f>
        <v>30.9</v>
      </c>
      <c r="D42" s="5">
        <f>VLOOKUP(A42, Safety!A:B, 2, FALSE)</f>
        <v>67.6</v>
      </c>
      <c r="E42" s="5">
        <f>VLOOKUP(A42, Health!A:B, 2, FALSE)</f>
        <v>75</v>
      </c>
      <c r="F42" s="5">
        <f>VLOOKUP(A42, Political!A:H, 8, FALSE)</f>
        <v>81.4680926</v>
      </c>
      <c r="G42" s="6">
        <f>VLOOKUP(A42, Pollution!A:B, 2, FALSE)</f>
        <v>26.3</v>
      </c>
      <c r="H42" s="7">
        <v>2068.0</v>
      </c>
      <c r="I42" s="5">
        <f>VLOOKUP(A42, English!A:C, 3, FALSE)</f>
        <v>569</v>
      </c>
      <c r="J42" s="5" t="str">
        <f>VLOOKUP(A42, Openness!A:C, 2, FALSE)</f>
        <v>#N/A</v>
      </c>
      <c r="K42" s="5">
        <f>VLOOKUP(A42, Scenic!A:B, 2, FALSE)</f>
        <v>65</v>
      </c>
      <c r="L42" s="5">
        <f>VLOOKUP(A42, Disaster!A:H, 3, FALSE)</f>
        <v>2.32</v>
      </c>
    </row>
    <row r="43" ht="15.75" customHeight="1">
      <c r="A43" s="4" t="s">
        <v>53</v>
      </c>
      <c r="B43" s="4">
        <v>1414.5</v>
      </c>
      <c r="C43" s="1">
        <f>VLOOKUP(A43, Sheet1!A:B, 2, FALSE)</f>
        <v>21.6</v>
      </c>
      <c r="D43" s="5">
        <f>VLOOKUP(A43, Safety!A:B, 2, FALSE)</f>
        <v>25.3</v>
      </c>
      <c r="E43" s="5">
        <f>VLOOKUP(A43, Health!A:B, 2, FALSE)</f>
        <v>63.8</v>
      </c>
      <c r="F43" s="5">
        <f>VLOOKUP(A43, Political!A:H, 8, FALSE)</f>
        <v>46.0578289</v>
      </c>
      <c r="G43" s="6">
        <f>VLOOKUP(A43, Pollution!A:B, 2, FALSE)</f>
        <v>56.7</v>
      </c>
      <c r="H43" s="7">
        <v>3533.0</v>
      </c>
      <c r="I43" s="5">
        <f>VLOOKUP(A43, English!A:C, 3, FALSE)</f>
        <v>594</v>
      </c>
      <c r="J43" s="5">
        <f>VLOOKUP(A43, Openness!A:C, 2, FALSE)</f>
        <v>23</v>
      </c>
      <c r="K43" s="5">
        <f>VLOOKUP(A43, Scenic!A:B, 2, FALSE)</f>
        <v>29</v>
      </c>
      <c r="L43" s="5">
        <f>VLOOKUP(A43, Disaster!A:H, 3, FALSE)</f>
        <v>9.6</v>
      </c>
    </row>
    <row r="44" ht="15.75" customHeight="1">
      <c r="A44" s="4" t="s">
        <v>54</v>
      </c>
      <c r="B44" s="4">
        <v>1388.08</v>
      </c>
      <c r="C44" s="1">
        <f>VLOOKUP(A44, Sheet1!A:B, 2, FALSE)</f>
        <v>29.7</v>
      </c>
      <c r="D44" s="5">
        <f>VLOOKUP(A44, Safety!A:B, 2, FALSE)</f>
        <v>69</v>
      </c>
      <c r="E44" s="5">
        <f>VLOOKUP(A44, Health!A:B, 2, FALSE)</f>
        <v>58.4</v>
      </c>
      <c r="F44" s="5">
        <f>VLOOKUP(A44, Political!A:H, 8, FALSE)</f>
        <v>66.88382212</v>
      </c>
      <c r="G44" s="6">
        <f>VLOOKUP(A44, Pollution!A:B, 2, FALSE)</f>
        <v>37.4</v>
      </c>
      <c r="H44" s="7">
        <v>2385.0</v>
      </c>
      <c r="I44" s="5">
        <f>VLOOKUP(A44, English!A:C, 3, FALSE)</f>
        <v>584</v>
      </c>
      <c r="J44" s="5" t="str">
        <f>VLOOKUP(A44, Openness!A:C, 2, FALSE)</f>
        <v>#N/A</v>
      </c>
      <c r="K44" s="5">
        <f>VLOOKUP(A44, Scenic!A:B, 2, FALSE)</f>
        <v>64</v>
      </c>
      <c r="L44" s="5">
        <f>VLOOKUP(A44, Disaster!A:H, 3, FALSE)</f>
        <v>1.03</v>
      </c>
    </row>
    <row r="45" ht="15.75" customHeight="1">
      <c r="A45" s="4" t="s">
        <v>55</v>
      </c>
      <c r="B45" s="4">
        <v>1298.51</v>
      </c>
      <c r="C45" s="1">
        <f>VLOOKUP(A45, Sheet1!A:B, 2, FALSE)</f>
        <v>28.6</v>
      </c>
      <c r="D45" s="5">
        <f>VLOOKUP(A45, Safety!A:B, 2, FALSE)</f>
        <v>62.9</v>
      </c>
      <c r="E45" s="5">
        <f>VLOOKUP(A45, Health!A:B, 2, FALSE)</f>
        <v>62.4</v>
      </c>
      <c r="F45" s="5">
        <f>VLOOKUP(A45, Political!A:H, 8, FALSE)</f>
        <v>77.19675827</v>
      </c>
      <c r="G45" s="6">
        <f>VLOOKUP(A45, Pollution!A:B, 2, FALSE)</f>
        <v>30.4</v>
      </c>
      <c r="H45" s="7">
        <v>2013.0</v>
      </c>
      <c r="I45" s="5" t="str">
        <f>VLOOKUP(A45, English!A:C, 3, FALSE)</f>
        <v>#N/A</v>
      </c>
      <c r="J45" s="5" t="str">
        <f>VLOOKUP(A45, Openness!A:C, 2, FALSE)</f>
        <v>#N/A</v>
      </c>
      <c r="K45" s="5">
        <f>VLOOKUP(A45, Scenic!A:B, 2, FALSE)</f>
        <v>74</v>
      </c>
      <c r="L45" s="5">
        <f>VLOOKUP(A45, Disaster!A:H, 3, FALSE)</f>
        <v>3.01</v>
      </c>
    </row>
    <row r="46" ht="15.75" customHeight="1">
      <c r="A46" s="4" t="s">
        <v>56</v>
      </c>
      <c r="B46" s="4">
        <v>1225.66</v>
      </c>
      <c r="C46" s="1">
        <f>VLOOKUP(A46, Sheet1!A:B, 2, FALSE)</f>
        <v>32.8</v>
      </c>
      <c r="D46" s="5">
        <f>VLOOKUP(A46, Safety!A:B, 2, FALSE)</f>
        <v>67.9</v>
      </c>
      <c r="E46" s="5">
        <f>VLOOKUP(A46, Health!A:B, 2, FALSE)</f>
        <v>72.2</v>
      </c>
      <c r="F46" s="5">
        <f>VLOOKUP(A46, Political!A:H, 8, FALSE)</f>
        <v>78.67649078</v>
      </c>
      <c r="G46" s="6">
        <f>VLOOKUP(A46, Pollution!A:B, 2, FALSE)</f>
        <v>28.7</v>
      </c>
      <c r="H46" s="7">
        <v>3176.0</v>
      </c>
      <c r="I46" s="5">
        <f>VLOOKUP(A46, English!A:C, 3, FALSE)</f>
        <v>605</v>
      </c>
      <c r="J46" s="5">
        <f>VLOOKUP(A46, Openness!A:C, 2, FALSE)</f>
        <v>15</v>
      </c>
      <c r="K46" s="5">
        <f>VLOOKUP(A46, Scenic!A:B, 2, FALSE)</f>
        <v>13</v>
      </c>
      <c r="L46" s="5">
        <f>VLOOKUP(A46, Disaster!A:H, 3, FALSE)</f>
        <v>5.08</v>
      </c>
    </row>
    <row r="47" ht="15.75" customHeight="1">
      <c r="A47" s="4" t="s">
        <v>57</v>
      </c>
      <c r="B47" s="4">
        <v>1187.71</v>
      </c>
      <c r="C47" s="1">
        <f>VLOOKUP(A47, Sheet1!A:B, 2, FALSE)</f>
        <v>24.2</v>
      </c>
      <c r="D47" s="5">
        <f>VLOOKUP(A47, Safety!A:B, 2, FALSE)</f>
        <v>63.9</v>
      </c>
      <c r="E47" s="5">
        <f>VLOOKUP(A47, Health!A:B, 2, FALSE)</f>
        <v>58.1</v>
      </c>
      <c r="F47" s="5">
        <f>VLOOKUP(A47, Political!A:H, 8, FALSE)</f>
        <v>56.39764468</v>
      </c>
      <c r="G47" s="6">
        <f>VLOOKUP(A47, Pollution!A:B, 2, FALSE)</f>
        <v>63.1</v>
      </c>
      <c r="H47" s="7">
        <v>2505.0</v>
      </c>
      <c r="I47" s="5">
        <f>VLOOKUP(A47, English!A:C, 3, FALSE)</f>
        <v>586</v>
      </c>
      <c r="J47" s="5" t="str">
        <f>VLOOKUP(A47, Openness!A:C, 2, FALSE)</f>
        <v>#N/A</v>
      </c>
      <c r="K47" s="5">
        <f>VLOOKUP(A47, Scenic!A:B, 2, FALSE)</f>
        <v>54</v>
      </c>
      <c r="L47" s="5">
        <f>VLOOKUP(A47, Disaster!A:H, 3, FALSE)</f>
        <v>2.43</v>
      </c>
    </row>
    <row r="48" ht="15.75" customHeight="1">
      <c r="A48" s="4" t="s">
        <v>58</v>
      </c>
      <c r="B48" s="4">
        <v>1180.91</v>
      </c>
      <c r="C48" s="1">
        <f>VLOOKUP(A48, Sheet1!A:B, 2, FALSE)</f>
        <v>25.3</v>
      </c>
      <c r="D48" s="5">
        <f>VLOOKUP(A48, Safety!A:B, 2, FALSE)</f>
        <v>66.3</v>
      </c>
      <c r="E48" s="5">
        <f>VLOOKUP(A48, Health!A:B, 2, FALSE)</f>
        <v>54.3</v>
      </c>
      <c r="F48" s="5">
        <f>VLOOKUP(A48, Political!A:H, 8, FALSE)</f>
        <v>62.45797729</v>
      </c>
      <c r="G48" s="6">
        <f>VLOOKUP(A48, Pollution!A:B, 2, FALSE)</f>
        <v>46.7</v>
      </c>
      <c r="H48" s="7">
        <v>2457.0</v>
      </c>
      <c r="I48" s="5">
        <f>VLOOKUP(A48, English!A:C, 3, FALSE)</f>
        <v>585</v>
      </c>
      <c r="J48" s="5">
        <f>VLOOKUP(A48, Openness!A:C, 2, FALSE)</f>
        <v>44</v>
      </c>
      <c r="K48" s="5">
        <f>VLOOKUP(A48, Scenic!A:B, 2, FALSE)</f>
        <v>41</v>
      </c>
      <c r="L48" s="5">
        <f>VLOOKUP(A48, Disaster!A:H, 3, FALSE)</f>
        <v>0.95</v>
      </c>
    </row>
    <row r="49" ht="15.75" customHeight="1">
      <c r="A49" s="4" t="s">
        <v>59</v>
      </c>
      <c r="B49" s="4">
        <v>1137.2</v>
      </c>
      <c r="C49" s="1">
        <f>VLOOKUP(A49, Sheet1!A:B, 2, FALSE)</f>
        <v>22.2</v>
      </c>
      <c r="D49" s="5">
        <f>VLOOKUP(A49, Safety!A:B, 2, FALSE)</f>
        <v>76</v>
      </c>
      <c r="E49" s="5">
        <f>VLOOKUP(A49, Health!A:B, 2, FALSE)</f>
        <v>68.7</v>
      </c>
      <c r="F49" s="5">
        <f>VLOOKUP(A49, Political!A:H, 8, FALSE)</f>
        <v>41.96850769</v>
      </c>
      <c r="G49" s="6">
        <f>VLOOKUP(A49, Pollution!A:B, 2, FALSE)</f>
        <v>77.8</v>
      </c>
      <c r="H49" s="7">
        <v>2148.0</v>
      </c>
      <c r="I49" s="5">
        <f>VLOOKUP(A49, English!A:C, 3, FALSE)</f>
        <v>455</v>
      </c>
      <c r="J49" s="5">
        <f>VLOOKUP(A49, Openness!A:C, 2, FALSE)</f>
        <v>19</v>
      </c>
      <c r="K49" s="5">
        <f>VLOOKUP(A49, Scenic!A:B, 2, FALSE)</f>
        <v>46</v>
      </c>
      <c r="L49" s="5">
        <f>VLOOKUP(A49, Disaster!A:H, 3, FALSE)</f>
        <v>21.31</v>
      </c>
    </row>
    <row r="50" ht="15.75" customHeight="1">
      <c r="A50" s="4" t="s">
        <v>60</v>
      </c>
      <c r="B50" s="4">
        <v>1129.59</v>
      </c>
      <c r="C50" s="1">
        <f>VLOOKUP(A50, Sheet1!A:B, 2, FALSE)</f>
        <v>23.2</v>
      </c>
      <c r="D50" s="5">
        <f>VLOOKUP(A50, Safety!A:B, 2, FALSE)</f>
        <v>67.7</v>
      </c>
      <c r="E50" s="5">
        <f>VLOOKUP(A50, Health!A:B, 2, FALSE)</f>
        <v>56.5</v>
      </c>
      <c r="F50" s="5">
        <f>VLOOKUP(A50, Political!A:H, 8, FALSE)</f>
        <v>58.14028041</v>
      </c>
      <c r="G50" s="6">
        <f>VLOOKUP(A50, Pollution!A:B, 2, FALSE)</f>
        <v>58.8</v>
      </c>
      <c r="H50" s="7">
        <v>2392.0</v>
      </c>
      <c r="I50" s="5">
        <f>VLOOKUP(A50, English!A:C, 3, FALSE)</f>
        <v>593</v>
      </c>
      <c r="J50" s="5" t="str">
        <f>VLOOKUP(A50, Openness!A:C, 2, FALSE)</f>
        <v>#N/A</v>
      </c>
      <c r="K50" s="5">
        <f>VLOOKUP(A50, Scenic!A:B, 2, FALSE)</f>
        <v>42</v>
      </c>
      <c r="L50" s="5">
        <f>VLOOKUP(A50, Disaster!A:H, 3, FALSE)</f>
        <v>3.22</v>
      </c>
    </row>
    <row r="51" ht="15.75" customHeight="1">
      <c r="A51" s="4" t="s">
        <v>61</v>
      </c>
      <c r="B51" s="4">
        <v>1098.28</v>
      </c>
      <c r="C51" s="1">
        <f>VLOOKUP(A51, Sheet1!A:B, 2, FALSE)</f>
        <v>20.1</v>
      </c>
      <c r="D51" s="5">
        <f>VLOOKUP(A51, Safety!A:B, 2, FALSE)</f>
        <v>51.1</v>
      </c>
      <c r="E51" s="5">
        <f>VLOOKUP(A51, Health!A:B, 2, FALSE)</f>
        <v>70.3</v>
      </c>
      <c r="F51" s="5">
        <f>VLOOKUP(A51, Political!A:H, 8, FALSE)</f>
        <v>63.96112633</v>
      </c>
      <c r="G51" s="6">
        <f>VLOOKUP(A51, Pollution!A:B, 2, FALSE)</f>
        <v>61.4</v>
      </c>
      <c r="H51" s="7">
        <v>660.0</v>
      </c>
      <c r="I51" s="5">
        <f>VLOOKUP(A51, English!A:C, 3, FALSE)</f>
        <v>566</v>
      </c>
      <c r="J51" s="5">
        <f>VLOOKUP(A51, Openness!A:C, 2, FALSE)</f>
        <v>24</v>
      </c>
      <c r="K51" s="5">
        <f>VLOOKUP(A51, Scenic!A:B, 2, FALSE)</f>
        <v>32</v>
      </c>
      <c r="L51" s="5">
        <f>VLOOKUP(A51, Disaster!A:H, 3, FALSE)</f>
        <v>14.5</v>
      </c>
    </row>
    <row r="52" ht="15.75" customHeight="1">
      <c r="A52" s="4" t="s">
        <v>62</v>
      </c>
      <c r="B52" s="4">
        <v>1064.97</v>
      </c>
      <c r="C52" s="1">
        <f>VLOOKUP(A52, Sheet1!A:B, 2, FALSE)</f>
        <v>31.1</v>
      </c>
      <c r="D52" s="5">
        <f>VLOOKUP(A52, Safety!A:B, 2, FALSE)</f>
        <v>53.6</v>
      </c>
      <c r="E52" s="5">
        <f>VLOOKUP(A52, Health!A:B, 2, FALSE)</f>
        <v>58.5</v>
      </c>
      <c r="F52" s="5">
        <f>VLOOKUP(A52, Political!A:H, 8, FALSE)</f>
        <v>62.80607033</v>
      </c>
      <c r="G52" s="6">
        <f>VLOOKUP(A52, Pollution!A:B, 2, FALSE)</f>
        <v>51.8</v>
      </c>
      <c r="H52" s="7">
        <v>2848.0</v>
      </c>
      <c r="I52" s="5">
        <f>VLOOKUP(A52, English!A:C, 3, FALSE)</f>
        <v>602</v>
      </c>
      <c r="J52" s="5">
        <f>VLOOKUP(A52, Openness!A:C, 2, FALSE)</f>
        <v>10</v>
      </c>
      <c r="K52" s="5">
        <f>VLOOKUP(A52, Scenic!A:B, 2, FALSE)</f>
        <v>1</v>
      </c>
      <c r="L52" s="5">
        <f>VLOOKUP(A52, Disaster!A:H, 3, FALSE)</f>
        <v>8.61</v>
      </c>
    </row>
    <row r="53" ht="15.75" customHeight="1">
      <c r="A53" s="4" t="s">
        <v>63</v>
      </c>
      <c r="B53" s="4">
        <v>1029.74</v>
      </c>
      <c r="C53" s="1">
        <f>VLOOKUP(A53, Sheet1!A:B, 2, FALSE)</f>
        <v>31.5</v>
      </c>
      <c r="D53" s="5">
        <f>VLOOKUP(A53, Safety!A:B, 2, FALSE)</f>
        <v>48</v>
      </c>
      <c r="E53" s="5">
        <f>VLOOKUP(A53, Health!A:B, 2, FALSE)</f>
        <v>68.6</v>
      </c>
      <c r="F53" s="5">
        <f>VLOOKUP(A53, Political!A:H, 8, FALSE)</f>
        <v>82.56230036</v>
      </c>
      <c r="G53" s="6">
        <f>VLOOKUP(A53, Pollution!A:B, 2, FALSE)</f>
        <v>43.6</v>
      </c>
      <c r="H53" s="8"/>
      <c r="I53" s="5">
        <f>VLOOKUP(A53, English!A:C, 3, FALSE)</f>
        <v>538</v>
      </c>
      <c r="J53" s="5" t="str">
        <f>VLOOKUP(A53, Openness!A:C, 2, FALSE)</f>
        <v>#N/A</v>
      </c>
      <c r="K53" s="5">
        <f>VLOOKUP(A53, Scenic!A:B, 2, FALSE)</f>
        <v>56</v>
      </c>
      <c r="L53" s="5">
        <f>VLOOKUP(A53, Disaster!A:H, 3, FALSE)</f>
        <v>4.97</v>
      </c>
    </row>
    <row r="54" ht="15.75" customHeight="1">
      <c r="A54" s="4" t="s">
        <v>64</v>
      </c>
      <c r="B54" s="4">
        <v>996.61</v>
      </c>
      <c r="C54" s="1">
        <f>VLOOKUP(A54, Sheet1!A:B, 2, FALSE)</f>
        <v>36.1</v>
      </c>
      <c r="D54" s="5">
        <f>VLOOKUP(A54, Safety!A:B, 2, FALSE)</f>
        <v>45.9</v>
      </c>
      <c r="E54" s="5">
        <f>VLOOKUP(A54, Health!A:B, 2, FALSE)</f>
        <v>64.3</v>
      </c>
      <c r="F54" s="5">
        <f>VLOOKUP(A54, Political!A:H, 8, FALSE)</f>
        <v>71.48967425</v>
      </c>
      <c r="G54" s="6">
        <f>VLOOKUP(A54, Pollution!A:B, 2, FALSE)</f>
        <v>42.9</v>
      </c>
      <c r="H54" s="7">
        <v>3134.0</v>
      </c>
      <c r="I54" s="5">
        <f>VLOOKUP(A54, English!A:C, 3, FALSE)</f>
        <v>534</v>
      </c>
      <c r="J54" s="5">
        <f>VLOOKUP(A54, Openness!A:C, 2, FALSE)</f>
        <v>1</v>
      </c>
      <c r="K54" s="5">
        <f>VLOOKUP(A54, Scenic!A:B, 2, FALSE)</f>
        <v>24</v>
      </c>
      <c r="L54" s="5">
        <f>VLOOKUP(A54, Disaster!A:H, 3, FALSE)</f>
        <v>11.17</v>
      </c>
    </row>
    <row r="55" ht="15.75" customHeight="1">
      <c r="A55" s="4" t="s">
        <v>65</v>
      </c>
      <c r="B55" s="4">
        <v>930.84</v>
      </c>
      <c r="C55" s="1">
        <f>VLOOKUP(A55, Sheet1!A:B, 2, FALSE)</f>
        <v>24.3</v>
      </c>
      <c r="D55" s="5">
        <f>VLOOKUP(A55, Safety!A:B, 2, FALSE)</f>
        <v>39.5</v>
      </c>
      <c r="E55" s="5">
        <f>VLOOKUP(A55, Health!A:B, 2, FALSE)</f>
        <v>63.5</v>
      </c>
      <c r="F55" s="5">
        <f>VLOOKUP(A55, Political!A:H, 8, FALSE)</f>
        <v>72.47598584</v>
      </c>
      <c r="G55" s="6">
        <f>VLOOKUP(A55, Pollution!A:B, 2, FALSE)</f>
        <v>77.6</v>
      </c>
      <c r="H55" s="7">
        <v>3478.0</v>
      </c>
      <c r="I55" s="5">
        <f>VLOOKUP(A55, English!A:C, 3, FALSE)</f>
        <v>525</v>
      </c>
      <c r="J55" s="5">
        <f>VLOOKUP(A55, Openness!A:C, 2, FALSE)</f>
        <v>43</v>
      </c>
      <c r="K55" s="5">
        <f>VLOOKUP(A55, Scenic!A:B, 2, FALSE)</f>
        <v>31</v>
      </c>
      <c r="L55" s="5">
        <f>VLOOKUP(A55, Disaster!A:H, 3, FALSE)</f>
        <v>13.74</v>
      </c>
    </row>
    <row r="56" ht="15.75" customHeight="1">
      <c r="A56" s="4" t="s">
        <v>66</v>
      </c>
      <c r="B56" s="4">
        <v>927.5</v>
      </c>
      <c r="C56" s="1">
        <f>VLOOKUP(A56, Sheet1!A:B, 2, FALSE)</f>
        <v>34.4</v>
      </c>
      <c r="D56" s="5">
        <f>VLOOKUP(A56, Safety!A:B, 2, FALSE)</f>
        <v>57.3</v>
      </c>
      <c r="E56" s="5">
        <f>VLOOKUP(A56, Health!A:B, 2, FALSE)</f>
        <v>60.7</v>
      </c>
      <c r="F56" s="5">
        <f>VLOOKUP(A56, Political!A:H, 8, FALSE)</f>
        <v>47.30057589</v>
      </c>
      <c r="G56" s="6">
        <f>VLOOKUP(A56, Pollution!A:B, 2, FALSE)</f>
        <v>55.6</v>
      </c>
      <c r="H56" s="7">
        <v>1115.0</v>
      </c>
      <c r="I56" s="5">
        <f>VLOOKUP(A56, English!A:C, 3, FALSE)</f>
        <v>488</v>
      </c>
      <c r="J56" s="5">
        <f>VLOOKUP(A56, Openness!A:C, 2, FALSE)</f>
        <v>7</v>
      </c>
      <c r="K56" s="5">
        <f>VLOOKUP(A56, Scenic!A:B, 2, FALSE)</f>
        <v>44</v>
      </c>
      <c r="L56" s="5">
        <f>VLOOKUP(A56, Disaster!A:H, 3, FALSE)</f>
        <v>18.19</v>
      </c>
    </row>
    <row r="57" ht="15.75" customHeight="1">
      <c r="A57" s="4" t="s">
        <v>67</v>
      </c>
      <c r="B57" s="4">
        <v>920.03</v>
      </c>
      <c r="C57" s="1">
        <f>VLOOKUP(A57, Sheet1!A:B, 2, FALSE)</f>
        <v>26.8</v>
      </c>
      <c r="D57" s="5">
        <f>VLOOKUP(A57, Safety!A:B, 2, FALSE)</f>
        <v>64.6</v>
      </c>
      <c r="E57" s="5" t="str">
        <f>VLOOKUP(A57, Health!A:B, 2, FALSE)</f>
        <v>#N/A</v>
      </c>
      <c r="F57" s="5">
        <f>VLOOKUP(A57, Political!A:H, 8, FALSE)</f>
        <v>55.9083964</v>
      </c>
      <c r="G57" s="6">
        <f>VLOOKUP(A57, Pollution!A:B, 2, FALSE)</f>
        <v>45.2</v>
      </c>
      <c r="H57" s="7">
        <v>2507.0</v>
      </c>
      <c r="I57" s="5" t="str">
        <f>VLOOKUP(A57, English!A:C, 3, FALSE)</f>
        <v>#N/A</v>
      </c>
      <c r="J57" s="5" t="str">
        <f>VLOOKUP(A57, Openness!A:C, 2, FALSE)</f>
        <v>#N/A</v>
      </c>
      <c r="K57" s="5" t="str">
        <f>VLOOKUP(A57, Scenic!A:B, 2, FALSE)</f>
        <v>#N/A</v>
      </c>
      <c r="L57" s="5">
        <f>VLOOKUP(A57, Disaster!A:H, 3, FALSE)</f>
        <v>2.9</v>
      </c>
    </row>
    <row r="58" ht="15.75" customHeight="1">
      <c r="A58" s="4" t="s">
        <v>68</v>
      </c>
      <c r="B58" s="4">
        <v>897.13</v>
      </c>
      <c r="C58" s="1">
        <f>VLOOKUP(A58, Sheet1!A:B, 2, FALSE)</f>
        <v>33.3</v>
      </c>
      <c r="D58" s="5">
        <f>VLOOKUP(A58, Safety!A:B, 2, FALSE)</f>
        <v>29.1</v>
      </c>
      <c r="E58" s="5">
        <f>VLOOKUP(A58, Health!A:B, 2, FALSE)</f>
        <v>54.3</v>
      </c>
      <c r="F58" s="5">
        <f>VLOOKUP(A58, Political!A:H, 8, FALSE)</f>
        <v>50.9395237</v>
      </c>
      <c r="G58" s="6">
        <f>VLOOKUP(A58, Pollution!A:B, 2, FALSE)</f>
        <v>66.7</v>
      </c>
      <c r="H58" s="8"/>
      <c r="I58" s="5" t="str">
        <f>VLOOKUP(A58, English!A:C, 3, FALSE)</f>
        <v>#N/A</v>
      </c>
      <c r="J58" s="5" t="str">
        <f>VLOOKUP(A58, Openness!A:C, 2, FALSE)</f>
        <v>#N/A</v>
      </c>
      <c r="K58" s="5" t="str">
        <f>VLOOKUP(A58, Scenic!A:B, 2, FALSE)</f>
        <v>#N/A</v>
      </c>
      <c r="L58" s="5">
        <f>VLOOKUP(A58, Disaster!A:H, 3, FALSE)</f>
        <v>3</v>
      </c>
    </row>
    <row r="59" ht="15.75" customHeight="1">
      <c r="A59" s="4" t="s">
        <v>69</v>
      </c>
      <c r="B59" s="4">
        <v>888.27</v>
      </c>
      <c r="C59" s="1">
        <f>VLOOKUP(A59, Sheet1!A:B, 2, FALSE)</f>
        <v>25.4</v>
      </c>
      <c r="D59" s="5">
        <f>VLOOKUP(A59, Safety!A:B, 2, FALSE)</f>
        <v>62.8</v>
      </c>
      <c r="E59" s="5">
        <f>VLOOKUP(A59, Health!A:B, 2, FALSE)</f>
        <v>52.1</v>
      </c>
      <c r="F59" s="5">
        <f>VLOOKUP(A59, Political!A:H, 8, FALSE)</f>
        <v>47.8784682</v>
      </c>
      <c r="G59" s="6">
        <f>VLOOKUP(A59, Pollution!A:B, 2, FALSE)</f>
        <v>65.2</v>
      </c>
      <c r="H59" s="7">
        <v>2506.0</v>
      </c>
      <c r="I59" s="5">
        <f>VLOOKUP(A59, English!A:C, 3, FALSE)</f>
        <v>568</v>
      </c>
      <c r="J59" s="5" t="str">
        <f>VLOOKUP(A59, Openness!A:C, 2, FALSE)</f>
        <v>#N/A</v>
      </c>
      <c r="K59" s="5">
        <f>VLOOKUP(A59, Scenic!A:B, 2, FALSE)</f>
        <v>72</v>
      </c>
      <c r="L59" s="5">
        <f>VLOOKUP(A59, Disaster!A:H, 3, FALSE)</f>
        <v>1.68</v>
      </c>
    </row>
    <row r="60" ht="15.75" customHeight="1">
      <c r="A60" s="4" t="s">
        <v>70</v>
      </c>
      <c r="B60" s="4">
        <v>826.22</v>
      </c>
      <c r="C60" s="1">
        <f>VLOOKUP(A60, Sheet1!A:B, 2, FALSE)</f>
        <v>25.4</v>
      </c>
      <c r="D60" s="5">
        <f>VLOOKUP(A60, Safety!A:B, 2, FALSE)</f>
        <v>46.6</v>
      </c>
      <c r="E60" s="5">
        <f>VLOOKUP(A60, Health!A:B, 2, FALSE)</f>
        <v>72.5</v>
      </c>
      <c r="F60" s="5">
        <f>VLOOKUP(A60, Political!A:H, 8, FALSE)</f>
        <v>32.67295869</v>
      </c>
      <c r="G60" s="6">
        <f>VLOOKUP(A60, Pollution!A:B, 2, FALSE)</f>
        <v>58.2</v>
      </c>
      <c r="H60" s="7">
        <v>3462.0</v>
      </c>
      <c r="I60" s="5">
        <f>VLOOKUP(A60, English!A:C, 3, FALSE)</f>
        <v>459</v>
      </c>
      <c r="J60" s="5">
        <f>VLOOKUP(A60, Openness!A:C, 2, FALSE)</f>
        <v>2</v>
      </c>
      <c r="K60" s="5">
        <f>VLOOKUP(A60, Scenic!A:B, 2, FALSE)</f>
        <v>19</v>
      </c>
      <c r="L60" s="5">
        <f>VLOOKUP(A60, Disaster!A:H, 3, FALSE)</f>
        <v>35.93</v>
      </c>
    </row>
    <row r="61" ht="15.75" customHeight="1">
      <c r="A61" s="4" t="s">
        <v>71</v>
      </c>
      <c r="B61" s="4">
        <v>823.76</v>
      </c>
      <c r="C61" s="1">
        <f>VLOOKUP(A61, Sheet1!A:B, 2, FALSE)</f>
        <v>13.1</v>
      </c>
      <c r="D61" s="5">
        <f>VLOOKUP(A61, Safety!A:B, 2, FALSE)</f>
        <v>55.7</v>
      </c>
      <c r="E61" s="5">
        <f>VLOOKUP(A61, Health!A:B, 2, FALSE)</f>
        <v>65.5</v>
      </c>
      <c r="F61" s="5">
        <f>VLOOKUP(A61, Political!A:H, 8, FALSE)</f>
        <v>47.58890915</v>
      </c>
      <c r="G61" s="6">
        <f>VLOOKUP(A61, Pollution!A:B, 2, FALSE)</f>
        <v>72.8</v>
      </c>
      <c r="H61" s="7">
        <v>1771.0</v>
      </c>
      <c r="I61" s="5">
        <f>VLOOKUP(A61, English!A:C, 3, FALSE)</f>
        <v>490</v>
      </c>
      <c r="J61" s="5">
        <f>VLOOKUP(A61, Openness!A:C, 2, FALSE)</f>
        <v>26</v>
      </c>
      <c r="K61" s="5">
        <f>VLOOKUP(A61, Scenic!A:B, 2, FALSE)</f>
        <v>48</v>
      </c>
      <c r="L61" s="5">
        <f>VLOOKUP(A61, Disaster!A:H, 3, FALSE)</f>
        <v>40.96</v>
      </c>
    </row>
    <row r="62" ht="15.75" customHeight="1">
      <c r="A62" s="4" t="s">
        <v>72</v>
      </c>
      <c r="B62" s="4">
        <v>792.5</v>
      </c>
      <c r="C62" s="1">
        <f>VLOOKUP(A62, Sheet1!A:B, 2, FALSE)</f>
        <v>15.8</v>
      </c>
      <c r="D62" s="5">
        <f>VLOOKUP(A62, Safety!A:B, 2, FALSE)</f>
        <v>61.3</v>
      </c>
      <c r="E62" s="5">
        <f>VLOOKUP(A62, Health!A:B, 2, FALSE)</f>
        <v>61.5</v>
      </c>
      <c r="F62" s="5">
        <f>VLOOKUP(A62, Political!A:H, 8, FALSE)</f>
        <v>15.5810949</v>
      </c>
      <c r="G62" s="6">
        <f>VLOOKUP(A62, Pollution!A:B, 2, FALSE)</f>
        <v>59.3</v>
      </c>
      <c r="H62" s="7">
        <v>1918.0</v>
      </c>
      <c r="I62" s="5">
        <f>VLOOKUP(A62, English!A:C, 3, FALSE)</f>
        <v>532</v>
      </c>
      <c r="J62" s="5" t="str">
        <f>VLOOKUP(A62, Openness!A:C, 2, FALSE)</f>
        <v>#N/A</v>
      </c>
      <c r="K62" s="5">
        <f>VLOOKUP(A62, Scenic!A:B, 2, FALSE)</f>
        <v>66</v>
      </c>
      <c r="L62" s="5">
        <f>VLOOKUP(A62, Disaster!A:H, 3, FALSE)</f>
        <v>28.12</v>
      </c>
    </row>
    <row r="63" ht="15.75" customHeight="1">
      <c r="A63" s="4" t="s">
        <v>73</v>
      </c>
      <c r="B63" s="4">
        <v>791.88</v>
      </c>
      <c r="C63" s="1">
        <f>VLOOKUP(A63, Sheet1!A:B, 2, FALSE)</f>
        <v>25</v>
      </c>
      <c r="D63" s="5">
        <f>VLOOKUP(A63, Safety!A:B, 2, FALSE)</f>
        <v>58.8</v>
      </c>
      <c r="E63" s="5">
        <f>VLOOKUP(A63, Health!A:B, 2, FALSE)</f>
        <v>71.2</v>
      </c>
      <c r="F63" s="5">
        <f>VLOOKUP(A63, Political!A:H, 8, FALSE)</f>
        <v>31.92904345</v>
      </c>
      <c r="G63" s="6">
        <f>VLOOKUP(A63, Pollution!A:B, 2, FALSE)</f>
        <v>64.3</v>
      </c>
      <c r="H63" s="7">
        <v>2593.0</v>
      </c>
      <c r="I63" s="5">
        <f>VLOOKUP(A63, English!A:C, 3, FALSE)</f>
        <v>497</v>
      </c>
      <c r="J63" s="5">
        <f>VLOOKUP(A63, Openness!A:C, 2, FALSE)</f>
        <v>40</v>
      </c>
      <c r="K63" s="5">
        <f>VLOOKUP(A63, Scenic!A:B, 2, FALSE)</f>
        <v>15</v>
      </c>
      <c r="L63" s="5">
        <f>VLOOKUP(A63, Disaster!A:H, 3, FALSE)</f>
        <v>14.48</v>
      </c>
    </row>
    <row r="64" ht="15.75" customHeight="1">
      <c r="A64" s="4" t="s">
        <v>74</v>
      </c>
      <c r="B64" s="4">
        <v>774.99</v>
      </c>
      <c r="C64" s="1">
        <f>VLOOKUP(A64, Sheet1!A:B, 2, FALSE)</f>
        <v>20.3</v>
      </c>
      <c r="D64" s="5">
        <f>VLOOKUP(A64, Safety!A:B, 2, FALSE)</f>
        <v>58.3</v>
      </c>
      <c r="E64" s="5">
        <f>VLOOKUP(A64, Health!A:B, 2, FALSE)</f>
        <v>55.6</v>
      </c>
      <c r="F64" s="5">
        <f>VLOOKUP(A64, Political!A:H, 8, FALSE)</f>
        <v>33.67701435</v>
      </c>
      <c r="G64" s="6">
        <f>VLOOKUP(A64, Pollution!A:B, 2, FALSE)</f>
        <v>59.8</v>
      </c>
      <c r="H64" s="7">
        <v>2412.0</v>
      </c>
      <c r="I64" s="5" t="str">
        <f>VLOOKUP(A64, English!A:C, 3, FALSE)</f>
        <v>#N/A</v>
      </c>
      <c r="J64" s="5" t="str">
        <f>VLOOKUP(A64, Openness!A:C, 2, FALSE)</f>
        <v>#N/A</v>
      </c>
      <c r="K64" s="5" t="str">
        <f>VLOOKUP(A64, Scenic!A:B, 2, FALSE)</f>
        <v>#N/A</v>
      </c>
      <c r="L64" s="5">
        <f>VLOOKUP(A64, Disaster!A:H, 3, FALSE)</f>
        <v>2.49</v>
      </c>
    </row>
    <row r="65" ht="15.75" customHeight="1">
      <c r="A65" s="4" t="s">
        <v>75</v>
      </c>
      <c r="B65" s="4">
        <v>741.51</v>
      </c>
      <c r="C65" s="1">
        <f>VLOOKUP(A65, Sheet1!A:B, 2, FALSE)</f>
        <v>24.1</v>
      </c>
      <c r="D65" s="5">
        <f>VLOOKUP(A65, Safety!A:B, 2, FALSE)</f>
        <v>50</v>
      </c>
      <c r="E65" s="5" t="str">
        <f>VLOOKUP(A65, Health!A:B, 2, FALSE)</f>
        <v>#N/A</v>
      </c>
      <c r="F65" s="5">
        <f>VLOOKUP(A65, Political!A:H, 8, FALSE)</f>
        <v>73.74859619</v>
      </c>
      <c r="G65" s="6">
        <f>VLOOKUP(A65, Pollution!A:B, 2, FALSE)</f>
        <v>54.8</v>
      </c>
      <c r="H65" s="8"/>
      <c r="I65" s="5" t="str">
        <f>VLOOKUP(A65, English!A:C, 3, FALSE)</f>
        <v>#N/A</v>
      </c>
      <c r="J65" s="5" t="str">
        <f>VLOOKUP(A65, Openness!A:C, 2, FALSE)</f>
        <v>#N/A</v>
      </c>
      <c r="K65" s="5" t="str">
        <f>VLOOKUP(A65, Scenic!A:B, 2, FALSE)</f>
        <v>#N/A</v>
      </c>
      <c r="L65" s="5">
        <f>VLOOKUP(A65, Disaster!A:H, 3, FALSE)</f>
        <v>3.58</v>
      </c>
    </row>
    <row r="66" ht="15.75" customHeight="1">
      <c r="A66" s="4" t="s">
        <v>76</v>
      </c>
      <c r="B66" s="4">
        <v>716.25</v>
      </c>
      <c r="C66" s="1">
        <f>VLOOKUP(A66, Sheet1!A:B, 2, FALSE)</f>
        <v>24.1</v>
      </c>
      <c r="D66" s="5">
        <f>VLOOKUP(A66, Safety!A:B, 2, FALSE)</f>
        <v>60</v>
      </c>
      <c r="E66" s="5">
        <f>VLOOKUP(A66, Health!A:B, 2, FALSE)</f>
        <v>65.2</v>
      </c>
      <c r="F66" s="5">
        <f>VLOOKUP(A66, Political!A:H, 8, FALSE)</f>
        <v>51.14463107</v>
      </c>
      <c r="G66" s="6">
        <f>VLOOKUP(A66, Pollution!A:B, 2, FALSE)</f>
        <v>77.5</v>
      </c>
      <c r="H66" s="7">
        <v>2962.0</v>
      </c>
      <c r="I66" s="5">
        <f>VLOOKUP(A66, English!A:C, 3, FALSE)</f>
        <v>431</v>
      </c>
      <c r="J66" s="5" t="str">
        <f>VLOOKUP(A66, Openness!A:C, 2, FALSE)</f>
        <v>#N/A</v>
      </c>
      <c r="K66" s="5">
        <f>VLOOKUP(A66, Scenic!A:B, 2, FALSE)</f>
        <v>63</v>
      </c>
      <c r="L66" s="5">
        <f>VLOOKUP(A66, Disaster!A:H, 3, FALSE)</f>
        <v>3.61</v>
      </c>
    </row>
    <row r="67" ht="15.75" customHeight="1">
      <c r="A67" s="4" t="s">
        <v>77</v>
      </c>
      <c r="B67" s="4">
        <v>703.0</v>
      </c>
      <c r="C67" s="1">
        <f>VLOOKUP(A67, Sheet1!A:B, 2, FALSE)</f>
        <v>19.9</v>
      </c>
      <c r="D67" s="5">
        <f>VLOOKUP(A67, Safety!A:B, 2, FALSE)</f>
        <v>58.9</v>
      </c>
      <c r="E67" s="5">
        <f>VLOOKUP(A67, Health!A:B, 2, FALSE)</f>
        <v>55.1</v>
      </c>
      <c r="F67" s="5">
        <f>VLOOKUP(A67, Political!A:H, 8, FALSE)</f>
        <v>51.24106598</v>
      </c>
      <c r="G67" s="6">
        <f>VLOOKUP(A67, Pollution!A:B, 2, FALSE)</f>
        <v>79.6</v>
      </c>
      <c r="H67" s="7">
        <v>2553.0</v>
      </c>
      <c r="I67" s="5" t="str">
        <f>VLOOKUP(A67, English!A:C, 3, FALSE)</f>
        <v>#N/A</v>
      </c>
      <c r="J67" s="5" t="str">
        <f>VLOOKUP(A67, Openness!A:C, 2, FALSE)</f>
        <v>#N/A</v>
      </c>
      <c r="K67" s="5" t="str">
        <f>VLOOKUP(A67, Scenic!A:B, 2, FALSE)</f>
        <v>#N/A</v>
      </c>
      <c r="L67" s="5">
        <f>VLOOKUP(A67, Disaster!A:H, 3, FALSE)</f>
        <v>1.29</v>
      </c>
    </row>
    <row r="68" ht="15.75" customHeight="1">
      <c r="A68" s="4" t="s">
        <v>78</v>
      </c>
      <c r="B68" s="4">
        <v>691.2</v>
      </c>
      <c r="C68" s="1">
        <f>VLOOKUP(A68, Sheet1!A:B, 2, FALSE)</f>
        <v>27.4</v>
      </c>
      <c r="D68" s="5">
        <f>VLOOKUP(A68, Safety!A:B, 2, FALSE)</f>
        <v>55.3</v>
      </c>
      <c r="E68" s="5">
        <f>VLOOKUP(A68, Health!A:B, 2, FALSE)</f>
        <v>48.2</v>
      </c>
      <c r="F68" s="5">
        <f>VLOOKUP(A68, Political!A:H, 8, FALSE)</f>
        <v>52.26653417</v>
      </c>
      <c r="G68" s="6">
        <f>VLOOKUP(A68, Pollution!A:B, 2, FALSE)</f>
        <v>77.2</v>
      </c>
      <c r="H68" s="7">
        <v>2714.0</v>
      </c>
      <c r="I68" s="5">
        <f>VLOOKUP(A68, English!A:C, 3, FALSE)</f>
        <v>533</v>
      </c>
      <c r="J68" s="5" t="str">
        <f>VLOOKUP(A68, Openness!A:C, 2, FALSE)</f>
        <v>#N/A</v>
      </c>
      <c r="K68" s="5" t="str">
        <f>VLOOKUP(A68, Scenic!A:B, 2, FALSE)</f>
        <v>#N/A</v>
      </c>
      <c r="L68" s="5">
        <f>VLOOKUP(A68, Disaster!A:H, 3, FALSE)</f>
        <v>6.24</v>
      </c>
    </row>
    <row r="69" ht="15.75" customHeight="1">
      <c r="A69" s="4" t="s">
        <v>79</v>
      </c>
      <c r="B69" s="4">
        <v>644.82</v>
      </c>
      <c r="C69" s="1">
        <f>VLOOKUP(A69, Sheet1!A:B, 2, FALSE)</f>
        <v>22.7</v>
      </c>
      <c r="D69" s="5">
        <f>VLOOKUP(A69, Safety!A:B, 2, FALSE)</f>
        <v>55.7</v>
      </c>
      <c r="E69" s="5" t="str">
        <f>VLOOKUP(A69, Health!A:B, 2, FALSE)</f>
        <v>#N/A</v>
      </c>
      <c r="F69" s="5">
        <f>VLOOKUP(A69, Political!A:H, 8, FALSE)</f>
        <v>44.86433792</v>
      </c>
      <c r="G69" s="6">
        <f>VLOOKUP(A69, Pollution!A:B, 2, FALSE)</f>
        <v>62.6</v>
      </c>
      <c r="H69" s="7">
        <v>2369.0</v>
      </c>
      <c r="I69" s="5">
        <f>VLOOKUP(A69, English!A:C, 3, FALSE)</f>
        <v>536</v>
      </c>
      <c r="J69" s="5" t="str">
        <f>VLOOKUP(A69, Openness!A:C, 2, FALSE)</f>
        <v>#N/A</v>
      </c>
      <c r="K69" s="5" t="str">
        <f>VLOOKUP(A69, Scenic!A:B, 2, FALSE)</f>
        <v>#N/A</v>
      </c>
      <c r="L69" s="5">
        <f>VLOOKUP(A69, Disaster!A:H, 3, FALSE)</f>
        <v>1.29</v>
      </c>
    </row>
    <row r="70" ht="15.75" customHeight="1">
      <c r="A70" s="4" t="s">
        <v>80</v>
      </c>
      <c r="B70" s="4">
        <v>644.53</v>
      </c>
      <c r="C70" s="1">
        <f>VLOOKUP(A70, Sheet1!A:B, 2, FALSE)</f>
        <v>19.4</v>
      </c>
      <c r="D70" s="5">
        <f>VLOOKUP(A70, Safety!A:B, 2, FALSE)</f>
        <v>54.8</v>
      </c>
      <c r="E70" s="5">
        <f>VLOOKUP(A70, Health!A:B, 2, FALSE)</f>
        <v>60.7</v>
      </c>
      <c r="F70" s="5">
        <f>VLOOKUP(A70, Political!A:H, 8, FALSE)</f>
        <v>42.0668567</v>
      </c>
      <c r="G70" s="6">
        <f>VLOOKUP(A70, Pollution!A:B, 2, FALSE)</f>
        <v>73.2</v>
      </c>
      <c r="H70" s="7">
        <v>2138.0</v>
      </c>
      <c r="I70" s="5">
        <f>VLOOKUP(A70, English!A:C, 3, FALSE)</f>
        <v>427</v>
      </c>
      <c r="J70" s="5" t="str">
        <f>VLOOKUP(A70, Openness!A:C, 2, FALSE)</f>
        <v>#N/A</v>
      </c>
      <c r="K70" s="5">
        <f>VLOOKUP(A70, Scenic!A:B, 2, FALSE)</f>
        <v>75</v>
      </c>
      <c r="L70" s="5">
        <f>VLOOKUP(A70, Disaster!A:H, 3, FALSE)</f>
        <v>1.94</v>
      </c>
    </row>
    <row r="71" ht="15.75" customHeight="1">
      <c r="A71" s="4" t="s">
        <v>81</v>
      </c>
      <c r="B71" s="4">
        <v>632.23</v>
      </c>
      <c r="C71" s="1">
        <f>VLOOKUP(A71, Sheet1!A:B, 2, FALSE)</f>
        <v>24.1</v>
      </c>
      <c r="D71" s="5">
        <f>VLOOKUP(A71, Safety!A:B, 2, FALSE)</f>
        <v>62.7</v>
      </c>
      <c r="E71" s="5">
        <f>VLOOKUP(A71, Health!A:B, 2, FALSE)</f>
        <v>77.5</v>
      </c>
      <c r="F71" s="5">
        <f>VLOOKUP(A71, Political!A:H, 8, FALSE)</f>
        <v>46.79425557</v>
      </c>
      <c r="G71" s="6">
        <f>VLOOKUP(A71, Pollution!A:B, 2, FALSE)</f>
        <v>75.7</v>
      </c>
      <c r="H71" s="7">
        <v>660.0</v>
      </c>
      <c r="I71" s="5">
        <f>VLOOKUP(A71, English!A:C, 3, FALSE)</f>
        <v>415</v>
      </c>
      <c r="J71" s="5">
        <f>VLOOKUP(A71, Openness!A:C, 2, FALSE)</f>
        <v>6</v>
      </c>
      <c r="K71" s="5">
        <f>VLOOKUP(A71, Scenic!A:B, 2, FALSE)</f>
        <v>6</v>
      </c>
      <c r="L71" s="5">
        <f>VLOOKUP(A71, Disaster!A:H, 3, FALSE)</f>
        <v>21.7</v>
      </c>
    </row>
    <row r="72" ht="15.75" customHeight="1">
      <c r="A72" s="4" t="s">
        <v>82</v>
      </c>
      <c r="B72" s="4">
        <v>626.51</v>
      </c>
      <c r="C72" s="1">
        <f>VLOOKUP(A72, Sheet1!A:B, 2, FALSE)</f>
        <v>17.8</v>
      </c>
      <c r="D72" s="5">
        <f>VLOOKUP(A72, Safety!A:B, 2, FALSE)</f>
        <v>50.2</v>
      </c>
      <c r="E72" s="5">
        <f>VLOOKUP(A72, Health!A:B, 2, FALSE)</f>
        <v>48.5</v>
      </c>
      <c r="F72" s="5">
        <f>VLOOKUP(A72, Political!A:H, 8, FALSE)</f>
        <v>13.87567294</v>
      </c>
      <c r="G72" s="6">
        <f>VLOOKUP(A72, Pollution!A:B, 2, FALSE)</f>
        <v>45.2</v>
      </c>
      <c r="H72" s="7">
        <v>1968.0</v>
      </c>
      <c r="I72" s="5">
        <f>VLOOKUP(A72, English!A:C, 3, FALSE)</f>
        <v>539</v>
      </c>
      <c r="J72" s="5" t="str">
        <f>VLOOKUP(A72, Openness!A:C, 2, FALSE)</f>
        <v>#N/A</v>
      </c>
      <c r="K72" s="5">
        <f>VLOOKUP(A72, Scenic!A:B, 2, FALSE)</f>
        <v>82</v>
      </c>
      <c r="L72" s="5">
        <f>VLOOKUP(A72, Disaster!A:H, 3, FALSE)</f>
        <v>0.76</v>
      </c>
    </row>
    <row r="73" ht="15.75" customHeight="1">
      <c r="A73" s="4" t="s">
        <v>83</v>
      </c>
      <c r="B73" s="4">
        <v>562.5</v>
      </c>
      <c r="C73" s="1">
        <f>VLOOKUP(A73, Sheet1!A:B, 2, FALSE)</f>
        <v>27.7</v>
      </c>
      <c r="D73" s="5">
        <f>VLOOKUP(A73, Safety!A:B, 2, FALSE)</f>
        <v>53.2</v>
      </c>
      <c r="E73" s="5">
        <f>VLOOKUP(A73, Health!A:B, 2, FALSE)</f>
        <v>63.7</v>
      </c>
      <c r="F73" s="5">
        <f>VLOOKUP(A73, Political!A:H, 8, FALSE)</f>
        <v>14.19539102</v>
      </c>
      <c r="G73" s="6">
        <f>VLOOKUP(A73, Pollution!A:B, 2, FALSE)</f>
        <v>89.4</v>
      </c>
      <c r="H73" s="8"/>
      <c r="I73" s="5">
        <f>VLOOKUP(A73, English!A:C, 3, FALSE)</f>
        <v>492</v>
      </c>
      <c r="J73" s="5" t="str">
        <f>VLOOKUP(A73, Openness!A:C, 2, FALSE)</f>
        <v>#N/A</v>
      </c>
      <c r="K73" s="5">
        <f>VLOOKUP(A73, Scenic!A:B, 2, FALSE)</f>
        <v>73</v>
      </c>
      <c r="L73" s="5">
        <f>VLOOKUP(A73, Disaster!A:H, 3, FALSE)</f>
        <v>3.87</v>
      </c>
    </row>
    <row r="74" ht="15.75" customHeight="1">
      <c r="A74" s="4" t="s">
        <v>84</v>
      </c>
      <c r="B74" s="4">
        <v>557.97</v>
      </c>
      <c r="C74" s="1">
        <f>VLOOKUP(A74, Sheet1!A:B, 2, FALSE)</f>
        <v>29.9</v>
      </c>
      <c r="D74" s="5">
        <f>VLOOKUP(A74, Safety!A:B, 2, FALSE)</f>
        <v>77.9</v>
      </c>
      <c r="E74" s="5">
        <f>VLOOKUP(A74, Health!A:B, 2, FALSE)</f>
        <v>59</v>
      </c>
      <c r="F74" s="5">
        <f>VLOOKUP(A74, Political!A:H, 8, FALSE)</f>
        <v>45.06366539</v>
      </c>
      <c r="G74" s="6">
        <f>VLOOKUP(A74, Pollution!A:B, 2, FALSE)</f>
        <v>62.6</v>
      </c>
      <c r="H74" s="7">
        <v>2311.0</v>
      </c>
      <c r="I74" s="5">
        <f>VLOOKUP(A74, English!A:C, 3, FALSE)</f>
        <v>537</v>
      </c>
      <c r="J74" s="5" t="str">
        <f>VLOOKUP(A74, Openness!A:C, 2, FALSE)</f>
        <v>#N/A</v>
      </c>
      <c r="K74" s="5" t="str">
        <f>VLOOKUP(A74, Scenic!A:B, 2, FALSE)</f>
        <v>#N/A</v>
      </c>
      <c r="L74" s="5">
        <f>VLOOKUP(A74, Disaster!A:H, 3, FALSE)</f>
        <v>2.61</v>
      </c>
    </row>
    <row r="75" ht="15.75" customHeight="1">
      <c r="A75" s="4" t="s">
        <v>85</v>
      </c>
      <c r="B75" s="4">
        <v>557.94</v>
      </c>
      <c r="C75" s="1">
        <f>VLOOKUP(A75, Sheet1!A:B, 2, FALSE)</f>
        <v>24.3</v>
      </c>
      <c r="D75" s="5">
        <f>VLOOKUP(A75, Safety!A:B, 2, FALSE)</f>
        <v>36.6</v>
      </c>
      <c r="E75" s="5">
        <f>VLOOKUP(A75, Health!A:B, 2, FALSE)</f>
        <v>68</v>
      </c>
      <c r="F75" s="5">
        <f>VLOOKUP(A75, Political!A:H, 8, FALSE)</f>
        <v>42.72609138</v>
      </c>
      <c r="G75" s="6">
        <f>VLOOKUP(A75, Pollution!A:B, 2, FALSE)</f>
        <v>50.9</v>
      </c>
      <c r="H75" s="7">
        <v>3231.0</v>
      </c>
      <c r="I75" s="5">
        <f>VLOOKUP(A75, English!A:C, 3, FALSE)</f>
        <v>562</v>
      </c>
      <c r="J75" s="5" t="str">
        <f>VLOOKUP(A75, Openness!A:C, 2, FALSE)</f>
        <v>#N/A</v>
      </c>
      <c r="K75" s="5">
        <f>VLOOKUP(A75, Scenic!A:B, 2, FALSE)</f>
        <v>26</v>
      </c>
      <c r="L75" s="5">
        <f>VLOOKUP(A75, Disaster!A:H, 3, FALSE)</f>
        <v>14.81</v>
      </c>
    </row>
    <row r="76" ht="15.75" customHeight="1">
      <c r="A76" s="4" t="s">
        <v>86</v>
      </c>
      <c r="B76" s="4">
        <v>539.49</v>
      </c>
      <c r="C76" s="1">
        <f>VLOOKUP(A76, Sheet1!A:B, 2, FALSE)</f>
        <v>22.6</v>
      </c>
      <c r="D76" s="5">
        <f>VLOOKUP(A76, Safety!A:B, 2, FALSE)</f>
        <v>73.7</v>
      </c>
      <c r="E76" s="5">
        <f>VLOOKUP(A76, Health!A:B, 2, FALSE)</f>
        <v>55.6</v>
      </c>
      <c r="F76" s="5">
        <f>VLOOKUP(A76, Political!A:H, 8, FALSE)</f>
        <v>60.86280505</v>
      </c>
      <c r="G76" s="6">
        <f>VLOOKUP(A76, Pollution!A:B, 2, FALSE)</f>
        <v>68.6</v>
      </c>
      <c r="H76" s="7">
        <v>2407.0</v>
      </c>
      <c r="I76" s="5">
        <f>VLOOKUP(A76, English!A:C, 3, FALSE)</f>
        <v>543</v>
      </c>
      <c r="J76" s="5" t="str">
        <f>VLOOKUP(A76, Openness!A:C, 2, FALSE)</f>
        <v>#N/A</v>
      </c>
      <c r="K76" s="5" t="str">
        <f>VLOOKUP(A76, Scenic!A:B, 2, FALSE)</f>
        <v>#N/A</v>
      </c>
      <c r="L76" s="5">
        <f>VLOOKUP(A76, Disaster!A:H, 3, FALSE)</f>
        <v>3.74</v>
      </c>
    </row>
    <row r="77" ht="15.75" customHeight="1">
      <c r="A77" s="4" t="s">
        <v>87</v>
      </c>
      <c r="B77" s="4">
        <v>530.59</v>
      </c>
      <c r="C77" s="1">
        <f>VLOOKUP(A77, Sheet1!A:B, 2, FALSE)</f>
        <v>20.5</v>
      </c>
      <c r="D77" s="5">
        <f>VLOOKUP(A77, Safety!A:B, 2, FALSE)</f>
        <v>32.9</v>
      </c>
      <c r="E77" s="5">
        <f>VLOOKUP(A77, Health!A:B, 2, FALSE)</f>
        <v>56.3</v>
      </c>
      <c r="F77" s="5">
        <f>VLOOKUP(A77, Political!A:H, 8, FALSE)</f>
        <v>37.12283707</v>
      </c>
      <c r="G77" s="6">
        <f>VLOOKUP(A77, Pollution!A:B, 2, FALSE)</f>
        <v>82.5</v>
      </c>
      <c r="H77" s="7">
        <v>4029.0</v>
      </c>
      <c r="I77" s="5">
        <f>VLOOKUP(A77, English!A:C, 3, FALSE)</f>
        <v>519</v>
      </c>
      <c r="J77" s="5" t="str">
        <f>VLOOKUP(A77, Openness!A:C, 2, FALSE)</f>
        <v>#N/A</v>
      </c>
      <c r="K77" s="5">
        <f>VLOOKUP(A77, Scenic!A:B, 2, FALSE)</f>
        <v>22</v>
      </c>
      <c r="L77" s="5">
        <f>VLOOKUP(A77, Disaster!A:H, 3, FALSE)</f>
        <v>27.01</v>
      </c>
    </row>
    <row r="78" ht="15.75" customHeight="1">
      <c r="A78" s="4" t="s">
        <v>88</v>
      </c>
      <c r="B78" s="4">
        <v>527.49</v>
      </c>
      <c r="C78" s="1">
        <f>VLOOKUP(A78, Sheet1!A:B, 2, FALSE)</f>
        <v>17.3</v>
      </c>
      <c r="D78" s="5">
        <f>VLOOKUP(A78, Safety!A:B, 2, FALSE)</f>
        <v>59.2</v>
      </c>
      <c r="E78" s="5" t="str">
        <f>VLOOKUP(A78, Health!A:B, 2, FALSE)</f>
        <v>#N/A</v>
      </c>
      <c r="F78" s="5">
        <f>VLOOKUP(A78, Political!A:H, 8, FALSE)</f>
        <v>42.75133324</v>
      </c>
      <c r="G78" s="5" t="str">
        <f>VLOOKUP(A78, Pollution!A:B, 2, FALSE)</f>
        <v>#N/A</v>
      </c>
      <c r="H78" s="7">
        <v>2421.0</v>
      </c>
      <c r="I78" s="5" t="str">
        <f>VLOOKUP(A78, English!A:C, 3, FALSE)</f>
        <v>#N/A</v>
      </c>
      <c r="J78" s="5" t="str">
        <f>VLOOKUP(A78, Openness!A:C, 2, FALSE)</f>
        <v>#N/A</v>
      </c>
      <c r="K78" s="5" t="str">
        <f>VLOOKUP(A78, Scenic!A:B, 2, FALSE)</f>
        <v>#N/A</v>
      </c>
      <c r="L78" s="5" t="str">
        <f>VLOOKUP(A78, Disaster!A:H, 3, FALSE)</f>
        <v>#N/A</v>
      </c>
    </row>
    <row r="79" ht="15.75" customHeight="1">
      <c r="A79" s="4" t="s">
        <v>89</v>
      </c>
      <c r="B79" s="4">
        <v>512.56</v>
      </c>
      <c r="C79" s="1">
        <f>VLOOKUP(A79, Sheet1!A:B, 2, FALSE)</f>
        <v>17.4</v>
      </c>
      <c r="D79" s="5">
        <f>VLOOKUP(A79, Safety!A:B, 2, FALSE)</f>
        <v>35.5</v>
      </c>
      <c r="E79" s="5">
        <f>VLOOKUP(A79, Health!A:B, 2, FALSE)</f>
        <v>59.1</v>
      </c>
      <c r="F79" s="5">
        <f>VLOOKUP(A79, Political!A:H, 8, FALSE)</f>
        <v>39.47080803</v>
      </c>
      <c r="G79" s="6">
        <f>VLOOKUP(A79, Pollution!A:B, 2, FALSE)</f>
        <v>52.5</v>
      </c>
      <c r="H79" s="7">
        <v>2930.0</v>
      </c>
      <c r="I79" s="5">
        <f>VLOOKUP(A79, English!A:C, 3, FALSE)</f>
        <v>466</v>
      </c>
      <c r="J79" s="5">
        <f>VLOOKUP(A79, Openness!A:C, 2, FALSE)</f>
        <v>5</v>
      </c>
      <c r="K79" s="5">
        <f>VLOOKUP(A79, Scenic!A:B, 2, FALSE)</f>
        <v>12</v>
      </c>
      <c r="L79" s="5">
        <f>VLOOKUP(A79, Disaster!A:H, 3, FALSE)</f>
        <v>13.15</v>
      </c>
    </row>
    <row r="80" ht="15.75" customHeight="1">
      <c r="A80" s="4" t="s">
        <v>90</v>
      </c>
      <c r="B80" s="4">
        <v>509.62</v>
      </c>
      <c r="C80" s="1">
        <f>VLOOKUP(A80, Sheet1!A:B, 2, FALSE)</f>
        <v>20.3</v>
      </c>
      <c r="D80" s="5">
        <f>VLOOKUP(A80, Safety!A:B, 2, FALSE)</f>
        <v>37.5</v>
      </c>
      <c r="E80" s="5">
        <f>VLOOKUP(A80, Health!A:B, 2, FALSE)</f>
        <v>77.1</v>
      </c>
      <c r="F80" s="5">
        <f>VLOOKUP(A80, Political!A:H, 8, FALSE)</f>
        <v>30.02015909</v>
      </c>
      <c r="G80" s="6">
        <f>VLOOKUP(A80, Pollution!A:B, 2, FALSE)</f>
        <v>58.8</v>
      </c>
      <c r="H80" s="7">
        <v>2446.0</v>
      </c>
      <c r="I80" s="5">
        <f>VLOOKUP(A80, English!A:C, 3, FALSE)</f>
        <v>465</v>
      </c>
      <c r="J80" s="5" t="str">
        <f>VLOOKUP(A80, Openness!A:C, 2, FALSE)</f>
        <v>#N/A</v>
      </c>
      <c r="K80" s="5">
        <f>VLOOKUP(A80, Scenic!A:B, 2, FALSE)</f>
        <v>52</v>
      </c>
      <c r="L80" s="5">
        <f>VLOOKUP(A80, Disaster!A:H, 3, FALSE)</f>
        <v>23.81</v>
      </c>
    </row>
    <row r="81" ht="15.75" customHeight="1">
      <c r="A81" s="4" t="s">
        <v>91</v>
      </c>
      <c r="B81" s="4">
        <v>497.47</v>
      </c>
      <c r="C81" s="1">
        <f>VLOOKUP(A81, Sheet1!A:B, 2, FALSE)</f>
        <v>18.2</v>
      </c>
      <c r="D81" s="5">
        <f>VLOOKUP(A81, Safety!A:B, 2, FALSE)</f>
        <v>56.9</v>
      </c>
      <c r="E81" s="5">
        <f>VLOOKUP(A81, Health!A:B, 2, FALSE)</f>
        <v>45.9</v>
      </c>
      <c r="F81" s="5">
        <f>VLOOKUP(A81, Political!A:H, 8, FALSE)</f>
        <v>8.876261751</v>
      </c>
      <c r="G81" s="6">
        <f>VLOOKUP(A81, Pollution!A:B, 2, FALSE)</f>
        <v>72.5</v>
      </c>
      <c r="H81" s="7">
        <v>2113.0</v>
      </c>
      <c r="I81" s="5">
        <f>VLOOKUP(A81, English!A:C, 3, FALSE)</f>
        <v>414</v>
      </c>
      <c r="J81" s="5" t="str">
        <f>VLOOKUP(A81, Openness!A:C, 2, FALSE)</f>
        <v>#N/A</v>
      </c>
      <c r="K81" s="5" t="str">
        <f>VLOOKUP(A81, Scenic!A:B, 2, FALSE)</f>
        <v>#N/A</v>
      </c>
      <c r="L81" s="5">
        <f>VLOOKUP(A81, Disaster!A:H, 3, FALSE)</f>
        <v>9.24</v>
      </c>
    </row>
    <row r="82" ht="15.75" customHeight="1">
      <c r="A82" s="4" t="s">
        <v>92</v>
      </c>
      <c r="B82" s="4">
        <v>485.26</v>
      </c>
      <c r="C82" s="1">
        <f>VLOOKUP(A82, Sheet1!A:B, 2, FALSE)</f>
        <v>17.1</v>
      </c>
      <c r="D82" s="5">
        <f>VLOOKUP(A82, Safety!A:B, 2, FALSE)</f>
        <v>53</v>
      </c>
      <c r="E82" s="5">
        <f>VLOOKUP(A82, Health!A:B, 2, FALSE)</f>
        <v>55.9</v>
      </c>
      <c r="F82" s="5">
        <f>VLOOKUP(A82, Political!A:H, 8, FALSE)</f>
        <v>30.07238722</v>
      </c>
      <c r="G82" s="6">
        <f>VLOOKUP(A82, Pollution!A:B, 2, FALSE)</f>
        <v>62.1</v>
      </c>
      <c r="H82" s="7">
        <v>2248.0</v>
      </c>
      <c r="I82" s="5">
        <f>VLOOKUP(A82, English!A:C, 3, FALSE)</f>
        <v>535</v>
      </c>
      <c r="J82" s="5" t="str">
        <f>VLOOKUP(A82, Openness!A:C, 2, FALSE)</f>
        <v>#N/A</v>
      </c>
      <c r="K82" s="5">
        <f>VLOOKUP(A82, Scenic!A:B, 2, FALSE)</f>
        <v>86</v>
      </c>
      <c r="L82" s="5">
        <f>VLOOKUP(A82, Disaster!A:H, 3, FALSE)</f>
        <v>4.41</v>
      </c>
    </row>
    <row r="83" ht="15.75" customHeight="1">
      <c r="A83" s="4" t="s">
        <v>93</v>
      </c>
      <c r="B83" s="4">
        <v>478.72</v>
      </c>
      <c r="C83" s="1">
        <f>VLOOKUP(A83, Sheet1!A:B, 2, FALSE)</f>
        <v>18.3</v>
      </c>
      <c r="D83" s="5">
        <f>VLOOKUP(A83, Safety!A:B, 2, FALSE)</f>
        <v>52.2</v>
      </c>
      <c r="E83" s="5">
        <f>VLOOKUP(A83, Health!A:B, 2, FALSE)</f>
        <v>46.8</v>
      </c>
      <c r="F83" s="5">
        <f>VLOOKUP(A83, Political!A:H, 8, FALSE)</f>
        <v>41.11978626</v>
      </c>
      <c r="G83" s="6">
        <f>VLOOKUP(A83, Pollution!A:B, 2, FALSE)</f>
        <v>68.7</v>
      </c>
      <c r="H83" s="7">
        <v>3506.0</v>
      </c>
      <c r="I83" s="5">
        <f>VLOOKUP(A83, English!A:C, 3, FALSE)</f>
        <v>479</v>
      </c>
      <c r="J83" s="5" t="str">
        <f>VLOOKUP(A83, Openness!A:C, 2, FALSE)</f>
        <v>#N/A</v>
      </c>
      <c r="K83" s="5">
        <f>VLOOKUP(A83, Scenic!A:B, 2, FALSE)</f>
        <v>30</v>
      </c>
      <c r="L83" s="5">
        <f>VLOOKUP(A83, Disaster!A:H, 3, FALSE)</f>
        <v>10.43</v>
      </c>
    </row>
    <row r="84" ht="15.75" customHeight="1">
      <c r="A84" s="4" t="s">
        <v>94</v>
      </c>
      <c r="B84" s="4">
        <v>469.0</v>
      </c>
      <c r="C84" s="1">
        <f>VLOOKUP(A84, Sheet1!A:B, 2, FALSE)</f>
        <v>18.8</v>
      </c>
      <c r="D84" s="5">
        <f>VLOOKUP(A84, Safety!A:B, 2, FALSE)</f>
        <v>72.1</v>
      </c>
      <c r="E84" s="5" t="str">
        <f>VLOOKUP(A84, Health!A:B, 2, FALSE)</f>
        <v>#N/A</v>
      </c>
      <c r="F84" s="5">
        <f>VLOOKUP(A84, Political!A:H, 8, FALSE)</f>
        <v>28.41100438</v>
      </c>
      <c r="G84" s="6">
        <f>VLOOKUP(A84, Pollution!A:B, 2, FALSE)</f>
        <v>54.3</v>
      </c>
      <c r="H84" s="7">
        <v>2281.0</v>
      </c>
      <c r="I84" s="5">
        <f>VLOOKUP(A84, English!A:C, 3, FALSE)</f>
        <v>439</v>
      </c>
      <c r="J84" s="5" t="str">
        <f>VLOOKUP(A84, Openness!A:C, 2, FALSE)</f>
        <v>#N/A</v>
      </c>
      <c r="K84" s="5">
        <f>VLOOKUP(A84, Scenic!A:B, 2, FALSE)</f>
        <v>77</v>
      </c>
      <c r="L84" s="5">
        <f>VLOOKUP(A84, Disaster!A:H, 3, FALSE)</f>
        <v>1.52</v>
      </c>
    </row>
    <row r="85" ht="15.75" customHeight="1">
      <c r="A85" s="4" t="s">
        <v>95</v>
      </c>
      <c r="B85" s="4">
        <v>466.32</v>
      </c>
      <c r="C85" s="1">
        <f>VLOOKUP(A85, Sheet1!A:B, 2, FALSE)</f>
        <v>20.4</v>
      </c>
      <c r="D85" s="5">
        <f>VLOOKUP(A85, Safety!A:B, 2, FALSE)</f>
        <v>68.2</v>
      </c>
      <c r="E85" s="5">
        <f>VLOOKUP(A85, Health!A:B, 2, FALSE)</f>
        <v>48.3</v>
      </c>
      <c r="F85" s="5">
        <f>VLOOKUP(A85, Political!A:H, 8, FALSE)</f>
        <v>28.06015666</v>
      </c>
      <c r="G85" s="6">
        <f>VLOOKUP(A85, Pollution!A:B, 2, FALSE)</f>
        <v>72.7</v>
      </c>
      <c r="H85" s="7">
        <v>2247.0</v>
      </c>
      <c r="I85" s="5">
        <f>VLOOKUP(A85, English!A:C, 3, FALSE)</f>
        <v>462</v>
      </c>
      <c r="J85" s="5" t="str">
        <f>VLOOKUP(A85, Openness!A:C, 2, FALSE)</f>
        <v>#N/A</v>
      </c>
      <c r="K85" s="5">
        <f>VLOOKUP(A85, Scenic!A:B, 2, FALSE)</f>
        <v>68</v>
      </c>
      <c r="L85" s="5">
        <f>VLOOKUP(A85, Disaster!A:H, 3, FALSE)</f>
        <v>2.23</v>
      </c>
    </row>
    <row r="86" ht="15.75" customHeight="1">
      <c r="A86" s="4" t="s">
        <v>96</v>
      </c>
      <c r="B86" s="4">
        <v>463.44</v>
      </c>
      <c r="C86" s="1">
        <f>VLOOKUP(A86, Sheet1!A:B, 2, FALSE)</f>
        <v>18.9</v>
      </c>
      <c r="D86" s="5">
        <f>VLOOKUP(A86, Safety!A:B, 2, FALSE)</f>
        <v>59.2</v>
      </c>
      <c r="E86" s="5">
        <f>VLOOKUP(A86, Health!A:B, 2, FALSE)</f>
        <v>61.3</v>
      </c>
      <c r="F86" s="5">
        <f>VLOOKUP(A86, Political!A:H, 8, FALSE)</f>
        <v>40.61839024</v>
      </c>
      <c r="G86" s="6">
        <f>VLOOKUP(A86, Pollution!A:B, 2, FALSE)</f>
        <v>84.2</v>
      </c>
      <c r="H86" s="7">
        <v>1139.0</v>
      </c>
      <c r="I86" s="5">
        <f>VLOOKUP(A86, English!A:C, 3, FALSE)</f>
        <v>498</v>
      </c>
      <c r="J86" s="5">
        <f>VLOOKUP(A86, Openness!A:C, 2, FALSE)</f>
        <v>13</v>
      </c>
      <c r="K86" s="5">
        <f>VLOOKUP(A86, Scenic!A:B, 2, FALSE)</f>
        <v>36</v>
      </c>
      <c r="L86" s="5">
        <f>VLOOKUP(A86, Disaster!A:H, 3, FALSE)</f>
        <v>24.24</v>
      </c>
    </row>
    <row r="87" ht="15.75" customHeight="1">
      <c r="A87" s="4" t="s">
        <v>97</v>
      </c>
      <c r="B87" s="4">
        <v>462.55</v>
      </c>
      <c r="C87" s="1">
        <f>VLOOKUP(A87, Sheet1!A:B, 2, FALSE)</f>
        <v>23.5</v>
      </c>
      <c r="D87" s="5">
        <f>VLOOKUP(A87, Safety!A:B, 2, FALSE)</f>
        <v>39.5</v>
      </c>
      <c r="E87" s="5">
        <f>VLOOKUP(A87, Health!A:B, 2, FALSE)</f>
        <v>58.3</v>
      </c>
      <c r="F87" s="5">
        <f>VLOOKUP(A87, Political!A:H, 8, FALSE)</f>
        <v>51.89652316</v>
      </c>
      <c r="G87" s="6">
        <f>VLOOKUP(A87, Pollution!A:B, 2, FALSE)</f>
        <v>73</v>
      </c>
      <c r="H87" s="7">
        <v>1659.0</v>
      </c>
      <c r="I87" s="5">
        <f>VLOOKUP(A87, English!A:C, 3, FALSE)</f>
        <v>503</v>
      </c>
      <c r="J87" s="5" t="str">
        <f>VLOOKUP(A87, Openness!A:C, 2, FALSE)</f>
        <v>#N/A</v>
      </c>
      <c r="K87" s="5">
        <f>VLOOKUP(A87, Scenic!A:B, 2, FALSE)</f>
        <v>38</v>
      </c>
      <c r="L87" s="5">
        <f>VLOOKUP(A87, Disaster!A:H, 3, FALSE)</f>
        <v>13.33</v>
      </c>
    </row>
    <row r="88" ht="15.75" customHeight="1">
      <c r="A88" s="4" t="s">
        <v>98</v>
      </c>
      <c r="B88" s="4">
        <v>427.57</v>
      </c>
      <c r="C88" s="1">
        <f>VLOOKUP(A88, Sheet1!A:B, 2, FALSE)</f>
        <v>18.1</v>
      </c>
      <c r="D88" s="5">
        <f>VLOOKUP(A88, Safety!A:B, 2, FALSE)</f>
        <v>39.1</v>
      </c>
      <c r="E88" s="5">
        <f>VLOOKUP(A88, Health!A:B, 2, FALSE)</f>
        <v>68.6</v>
      </c>
      <c r="F88" s="5">
        <f>VLOOKUP(A88, Political!A:H, 8, FALSE)</f>
        <v>42.89472866</v>
      </c>
      <c r="G88" s="6">
        <f>VLOOKUP(A88, Pollution!A:B, 2, FALSE)</f>
        <v>62.6</v>
      </c>
      <c r="H88" s="7">
        <v>3521.0</v>
      </c>
      <c r="I88" s="5">
        <f>VLOOKUP(A88, English!A:C, 3, FALSE)</f>
        <v>485</v>
      </c>
      <c r="J88" s="5">
        <f>VLOOKUP(A88, Openness!A:C, 2, FALSE)</f>
        <v>8</v>
      </c>
      <c r="K88" s="5">
        <f>VLOOKUP(A88, Scenic!A:B, 2, FALSE)</f>
        <v>39</v>
      </c>
      <c r="L88" s="5">
        <f>VLOOKUP(A88, Disaster!A:H, 3, FALSE)</f>
        <v>37.81</v>
      </c>
    </row>
    <row r="89" ht="15.75" customHeight="1">
      <c r="A89" s="4" t="s">
        <v>99</v>
      </c>
      <c r="B89" s="4">
        <v>381.98</v>
      </c>
      <c r="C89" s="1">
        <f>VLOOKUP(A89, Sheet1!A:B, 2, FALSE)</f>
        <v>18.9</v>
      </c>
      <c r="D89" s="5">
        <f>VLOOKUP(A89, Safety!A:B, 2, FALSE)</f>
        <v>45.7</v>
      </c>
      <c r="E89" s="5" t="str">
        <f>VLOOKUP(A89, Health!A:B, 2, FALSE)</f>
        <v>#N/A</v>
      </c>
      <c r="F89" s="5">
        <f>VLOOKUP(A89, Political!A:H, 8, FALSE)</f>
        <v>21.19024467</v>
      </c>
      <c r="G89" s="5" t="str">
        <f>VLOOKUP(A89, Pollution!A:B, 2, FALSE)</f>
        <v>#N/A</v>
      </c>
      <c r="H89" s="7">
        <v>2356.0</v>
      </c>
      <c r="I89" s="5">
        <f>VLOOKUP(A89, English!A:C, 3, FALSE)</f>
        <v>457</v>
      </c>
      <c r="J89" s="5" t="str">
        <f>VLOOKUP(A89, Openness!A:C, 2, FALSE)</f>
        <v>#N/A</v>
      </c>
      <c r="K89" s="5" t="str">
        <f>VLOOKUP(A89, Scenic!A:B, 2, FALSE)</f>
        <v>#N/A</v>
      </c>
      <c r="L89" s="5">
        <f>VLOOKUP(A89, Disaster!A:H, 3, FALSE)</f>
        <v>2.53</v>
      </c>
    </row>
    <row r="90" ht="15.75" customHeight="1">
      <c r="A90" s="4" t="s">
        <v>100</v>
      </c>
      <c r="B90" s="4">
        <v>377.54</v>
      </c>
      <c r="C90" s="1">
        <f>VLOOKUP(A90, Sheet1!A:B, 2, FALSE)</f>
        <v>16.6</v>
      </c>
      <c r="D90" s="5">
        <f>VLOOKUP(A90, Safety!A:B, 2, FALSE)</f>
        <v>40.2</v>
      </c>
      <c r="E90" s="5" t="str">
        <f>VLOOKUP(A90, Health!A:B, 2, FALSE)</f>
        <v>#N/A</v>
      </c>
      <c r="F90" s="5">
        <f>VLOOKUP(A90, Political!A:H, 8, FALSE)</f>
        <v>37.92258231</v>
      </c>
      <c r="G90" s="5" t="str">
        <f>VLOOKUP(A90, Pollution!A:B, 2, FALSE)</f>
        <v>#N/A</v>
      </c>
      <c r="H90" s="7">
        <v>2503.0</v>
      </c>
      <c r="I90" s="5">
        <f>VLOOKUP(A90, English!A:C, 3, FALSE)</f>
        <v>531</v>
      </c>
      <c r="J90" s="5" t="str">
        <f>VLOOKUP(A90, Openness!A:C, 2, FALSE)</f>
        <v>#N/A</v>
      </c>
      <c r="K90" s="5" t="str">
        <f>VLOOKUP(A90, Scenic!A:B, 2, FALSE)</f>
        <v>#N/A</v>
      </c>
      <c r="L90" s="5">
        <f>VLOOKUP(A90, Disaster!A:H, 3, FALSE)</f>
        <v>1.65</v>
      </c>
    </row>
    <row r="91" ht="15.75" customHeight="1">
      <c r="A91" s="4" t="s">
        <v>101</v>
      </c>
      <c r="B91" s="4">
        <v>367.77</v>
      </c>
      <c r="C91" s="1">
        <f>VLOOKUP(A91, Sheet1!A:B, 2, FALSE)</f>
        <v>19.1</v>
      </c>
      <c r="D91" s="5">
        <f>VLOOKUP(A91, Safety!A:B, 2, FALSE)</f>
        <v>56.9</v>
      </c>
      <c r="E91" s="5">
        <f>VLOOKUP(A91, Health!A:B, 2, FALSE)</f>
        <v>67.3</v>
      </c>
      <c r="F91" s="5">
        <f>VLOOKUP(A91, Political!A:H, 8, FALSE)</f>
        <v>42.60711098</v>
      </c>
      <c r="G91" s="6">
        <f>VLOOKUP(A91, Pollution!A:B, 2, FALSE)</f>
        <v>72.6</v>
      </c>
      <c r="H91" s="7">
        <v>928.0</v>
      </c>
      <c r="I91" s="5">
        <f>VLOOKUP(A91, English!A:C, 3, FALSE)</f>
        <v>570</v>
      </c>
      <c r="J91" s="5">
        <f>VLOOKUP(A91, Openness!A:C, 2, FALSE)</f>
        <v>3</v>
      </c>
      <c r="K91" s="5">
        <f>VLOOKUP(A91, Scenic!A:B, 2, FALSE)</f>
        <v>34</v>
      </c>
      <c r="L91" s="5">
        <f>VLOOKUP(A91, Disaster!A:H, 3, FALSE)</f>
        <v>46.91</v>
      </c>
    </row>
    <row r="92" ht="15.75" customHeight="1">
      <c r="A92" s="4" t="s">
        <v>102</v>
      </c>
      <c r="B92" s="4">
        <v>355.56</v>
      </c>
      <c r="C92" s="1">
        <f>VLOOKUP(A92, Sheet1!A:B, 2, FALSE)</f>
        <v>23.1</v>
      </c>
      <c r="D92" s="5">
        <f>VLOOKUP(A92, Safety!A:B, 2, FALSE)</f>
        <v>39.3</v>
      </c>
      <c r="E92" s="5" t="str">
        <f>VLOOKUP(A92, Health!A:B, 2, FALSE)</f>
        <v>#N/A</v>
      </c>
      <c r="F92" s="5">
        <f>VLOOKUP(A92, Political!A:H, 8, FALSE)</f>
        <v>12.55354325</v>
      </c>
      <c r="G92" s="6">
        <f>VLOOKUP(A92, Pollution!A:B, 2, FALSE)</f>
        <v>78.4</v>
      </c>
      <c r="H92" s="7">
        <v>3684.0</v>
      </c>
      <c r="I92" s="5" t="str">
        <f>VLOOKUP(A92, English!A:C, 3, FALSE)</f>
        <v>#N/A</v>
      </c>
      <c r="J92" s="5" t="str">
        <f>VLOOKUP(A92, Openness!A:C, 2, FALSE)</f>
        <v>#N/A</v>
      </c>
      <c r="K92" s="5">
        <f>VLOOKUP(A92, Scenic!A:B, 2, FALSE)</f>
        <v>71</v>
      </c>
      <c r="L92" s="5">
        <f>VLOOKUP(A92, Disaster!A:H, 3, FALSE)</f>
        <v>2.62</v>
      </c>
    </row>
    <row r="93" ht="15.75" customHeight="1">
      <c r="A93" s="4" t="s">
        <v>103</v>
      </c>
      <c r="B93" s="4">
        <v>347.57</v>
      </c>
      <c r="C93" s="1">
        <f>VLOOKUP(A93, Sheet1!A:B, 2, FALSE)</f>
        <v>12.1</v>
      </c>
      <c r="D93" s="5">
        <f>VLOOKUP(A93, Safety!A:B, 2, FALSE)</f>
        <v>43.6</v>
      </c>
      <c r="E93" s="5" t="str">
        <f>VLOOKUP(A93, Health!A:B, 2, FALSE)</f>
        <v>#N/A</v>
      </c>
      <c r="F93" s="5">
        <f>VLOOKUP(A93, Political!A:H, 8, FALSE)</f>
        <v>4.624761581</v>
      </c>
      <c r="G93" s="5" t="str">
        <f>VLOOKUP(A93, Pollution!A:B, 2, FALSE)</f>
        <v>#N/A</v>
      </c>
      <c r="H93" s="8"/>
      <c r="I93" s="5">
        <f>VLOOKUP(A93, English!A:C, 3, FALSE)</f>
        <v>405</v>
      </c>
      <c r="J93" s="5" t="str">
        <f>VLOOKUP(A93, Openness!A:C, 2, FALSE)</f>
        <v>#N/A</v>
      </c>
      <c r="K93" s="5" t="str">
        <f>VLOOKUP(A93, Scenic!A:B, 2, FALSE)</f>
        <v>#N/A</v>
      </c>
      <c r="L93" s="5">
        <f>VLOOKUP(A93, Disaster!A:H, 3, FALSE)</f>
        <v>13.87</v>
      </c>
    </row>
    <row r="94" ht="15.75" customHeight="1">
      <c r="A94" s="4" t="s">
        <v>104</v>
      </c>
      <c r="B94" s="4">
        <v>325.8</v>
      </c>
      <c r="C94" s="1">
        <f>VLOOKUP(A94, Sheet1!A:B, 2, FALSE)</f>
        <v>17.1</v>
      </c>
      <c r="D94" s="5">
        <f>VLOOKUP(A94, Safety!A:B, 2, FALSE)</f>
        <v>54</v>
      </c>
      <c r="E94" s="5">
        <f>VLOOKUP(A94, Health!A:B, 2, FALSE)</f>
        <v>60.9</v>
      </c>
      <c r="F94" s="5">
        <f>VLOOKUP(A94, Political!A:H, 8, FALSE)</f>
        <v>49.17336241</v>
      </c>
      <c r="G94" s="6">
        <f>VLOOKUP(A94, Pollution!A:B, 2, FALSE)</f>
        <v>67.6</v>
      </c>
      <c r="H94" s="7">
        <v>1023.0</v>
      </c>
      <c r="I94" s="5">
        <f>VLOOKUP(A94, English!A:C, 3, FALSE)</f>
        <v>468</v>
      </c>
      <c r="J94" s="5">
        <f>VLOOKUP(A94, Openness!A:C, 2, FALSE)</f>
        <v>4</v>
      </c>
      <c r="K94" s="5">
        <f>VLOOKUP(A94, Scenic!A:B, 2, FALSE)</f>
        <v>27</v>
      </c>
      <c r="L94" s="5">
        <f>VLOOKUP(A94, Disaster!A:H, 3, FALSE)</f>
        <v>41.13</v>
      </c>
    </row>
    <row r="95" ht="15.75" customHeight="1">
      <c r="A95" s="4" t="s">
        <v>105</v>
      </c>
      <c r="B95" s="4">
        <v>324.92</v>
      </c>
      <c r="C95" s="1">
        <f>VLOOKUP(A95, Sheet1!A:B, 2, FALSE)</f>
        <v>16.3</v>
      </c>
      <c r="D95" s="5">
        <f>VLOOKUP(A95, Safety!A:B, 2, FALSE)</f>
        <v>54.9</v>
      </c>
      <c r="E95" s="5">
        <f>VLOOKUP(A95, Health!A:B, 2, FALSE)</f>
        <v>57.2</v>
      </c>
      <c r="F95" s="5">
        <f>VLOOKUP(A95, Political!A:H, 8, FALSE)</f>
        <v>36.90862083</v>
      </c>
      <c r="G95" s="6">
        <f>VLOOKUP(A95, Pollution!A:B, 2, FALSE)</f>
        <v>70.2</v>
      </c>
      <c r="H95" s="7">
        <v>3026.0</v>
      </c>
      <c r="I95" s="5">
        <f>VLOOKUP(A95, English!A:C, 3, FALSE)</f>
        <v>496</v>
      </c>
      <c r="J95" s="5" t="str">
        <f>VLOOKUP(A95, Openness!A:C, 2, FALSE)</f>
        <v>#N/A</v>
      </c>
      <c r="K95" s="5">
        <f>VLOOKUP(A95, Scenic!A:B, 2, FALSE)</f>
        <v>58</v>
      </c>
      <c r="L95" s="5">
        <f>VLOOKUP(A95, Disaster!A:H, 3, FALSE)</f>
        <v>9.91</v>
      </c>
    </row>
    <row r="96" ht="15.75" customHeight="1">
      <c r="A96" s="4" t="s">
        <v>106</v>
      </c>
      <c r="B96" s="4">
        <v>318.86</v>
      </c>
      <c r="C96" s="1">
        <f>VLOOKUP(A96, Sheet1!A:B, 2, FALSE)</f>
        <v>19.1</v>
      </c>
      <c r="D96" s="5">
        <f>VLOOKUP(A96, Safety!A:B, 2, FALSE)</f>
        <v>44</v>
      </c>
      <c r="E96" s="5">
        <f>VLOOKUP(A96, Health!A:B, 2, FALSE)</f>
        <v>62</v>
      </c>
      <c r="F96" s="5">
        <f>VLOOKUP(A96, Political!A:H, 8, FALSE)</f>
        <v>32.97800716</v>
      </c>
      <c r="G96" s="6">
        <f>VLOOKUP(A96, Pollution!A:B, 2, FALSE)</f>
        <v>69</v>
      </c>
      <c r="H96" s="7">
        <v>3871.0</v>
      </c>
      <c r="I96" s="5">
        <f>VLOOKUP(A96, English!A:C, 3, FALSE)</f>
        <v>581</v>
      </c>
      <c r="J96" s="5">
        <f>VLOOKUP(A96, Openness!A:C, 2, FALSE)</f>
        <v>9</v>
      </c>
      <c r="K96" s="5">
        <f>VLOOKUP(A96, Scenic!A:B, 2, FALSE)</f>
        <v>49</v>
      </c>
      <c r="L96" s="5">
        <f>VLOOKUP(A96, Disaster!A:H, 3, FALSE)</f>
        <v>13.79</v>
      </c>
    </row>
    <row r="97" ht="15.75" customHeight="1">
      <c r="A97" s="4" t="s">
        <v>107</v>
      </c>
      <c r="B97" s="4">
        <v>311.09</v>
      </c>
      <c r="C97" s="1">
        <f>VLOOKUP(A97, Sheet1!A:B, 2, FALSE)</f>
        <v>15.2</v>
      </c>
      <c r="D97" s="5">
        <f>VLOOKUP(A97, Safety!A:B, 2, FALSE)</f>
        <v>47.4</v>
      </c>
      <c r="E97" s="5">
        <f>VLOOKUP(A97, Health!A:B, 2, FALSE)</f>
        <v>54.5</v>
      </c>
      <c r="F97" s="5">
        <f>VLOOKUP(A97, Political!A:H, 8, FALSE)</f>
        <v>24.21359507</v>
      </c>
      <c r="G97" s="6">
        <f>VLOOKUP(A97, Pollution!A:B, 2, FALSE)</f>
        <v>63.7</v>
      </c>
      <c r="H97" s="7">
        <v>3100.0</v>
      </c>
      <c r="I97" s="5">
        <f>VLOOKUP(A97, English!A:C, 3, FALSE)</f>
        <v>471</v>
      </c>
      <c r="J97" s="5" t="str">
        <f>VLOOKUP(A97, Openness!A:C, 2, FALSE)</f>
        <v>#N/A</v>
      </c>
      <c r="K97" s="5">
        <f>VLOOKUP(A97, Scenic!A:B, 2, FALSE)</f>
        <v>80</v>
      </c>
      <c r="L97" s="5">
        <f>VLOOKUP(A97, Disaster!A:H, 3, FALSE)</f>
        <v>9.64</v>
      </c>
    </row>
    <row r="98" ht="15.75" customHeight="1">
      <c r="A98" s="4" t="s">
        <v>108</v>
      </c>
      <c r="B98" s="4">
        <v>271.78</v>
      </c>
      <c r="C98" s="1">
        <f>VLOOKUP(A98, Sheet1!A:B, 2, FALSE)</f>
        <v>12.7</v>
      </c>
      <c r="D98" s="5">
        <f>VLOOKUP(A98, Safety!A:B, 2, FALSE)</f>
        <v>38.4</v>
      </c>
      <c r="E98" s="5">
        <f>VLOOKUP(A98, Health!A:B, 2, FALSE)</f>
        <v>42.2</v>
      </c>
      <c r="F98" s="5">
        <f>VLOOKUP(A98, Political!A:H, 8, FALSE)</f>
        <v>22.82645273</v>
      </c>
      <c r="G98" s="6">
        <f>VLOOKUP(A98, Pollution!A:B, 2, FALSE)</f>
        <v>85.6</v>
      </c>
      <c r="H98" s="7">
        <v>1410.0</v>
      </c>
      <c r="I98" s="5">
        <f>VLOOKUP(A98, English!A:C, 3, FALSE)</f>
        <v>500</v>
      </c>
      <c r="J98" s="5" t="str">
        <f>VLOOKUP(A98, Openness!A:C, 2, FALSE)</f>
        <v>#N/A</v>
      </c>
      <c r="K98" s="5">
        <f>VLOOKUP(A98, Scenic!A:B, 2, FALSE)</f>
        <v>85</v>
      </c>
      <c r="L98" s="5">
        <f>VLOOKUP(A98, Disaster!A:H, 3, FALSE)</f>
        <v>27.73</v>
      </c>
    </row>
    <row r="99" ht="15.75" customHeight="1">
      <c r="A99" s="4" t="s">
        <v>109</v>
      </c>
      <c r="B99" s="4">
        <v>253.36</v>
      </c>
      <c r="C99" s="1">
        <f>VLOOKUP(A99, Sheet1!A:B, 2, FALSE)</f>
        <v>16.8</v>
      </c>
      <c r="D99" s="5">
        <f>VLOOKUP(A99, Safety!A:B, 2, FALSE)</f>
        <v>49.5</v>
      </c>
      <c r="E99" s="5">
        <f>VLOOKUP(A99, Health!A:B, 2, FALSE)</f>
        <v>52.8</v>
      </c>
      <c r="F99" s="5">
        <f>VLOOKUP(A99, Political!A:H, 8, FALSE)</f>
        <v>10.11855499</v>
      </c>
      <c r="G99" s="6">
        <f>VLOOKUP(A99, Pollution!A:B, 2, FALSE)</f>
        <v>75.3</v>
      </c>
      <c r="H99" s="7">
        <v>2389.0</v>
      </c>
      <c r="I99" s="5">
        <f>VLOOKUP(A99, English!A:C, 3, FALSE)</f>
        <v>499</v>
      </c>
      <c r="J99" s="5" t="str">
        <f>VLOOKUP(A99, Openness!A:C, 2, FALSE)</f>
        <v>#N/A</v>
      </c>
      <c r="K99" s="5">
        <f>VLOOKUP(A99, Scenic!A:B, 2, FALSE)</f>
        <v>89</v>
      </c>
      <c r="L99" s="5">
        <f>VLOOKUP(A99, Disaster!A:H, 3, FALSE)</f>
        <v>17.47</v>
      </c>
    </row>
    <row r="100" ht="15.75" customHeight="1">
      <c r="A100" s="4" t="s">
        <v>110</v>
      </c>
      <c r="B100" s="4">
        <v>243.75</v>
      </c>
      <c r="C100" s="1">
        <f>VLOOKUP(A100, Sheet1!A:B, 2, FALSE)</f>
        <v>22.6</v>
      </c>
      <c r="D100" s="5">
        <f>VLOOKUP(A100, Safety!A:B, 2, FALSE)</f>
        <v>19.3</v>
      </c>
      <c r="E100" s="5">
        <f>VLOOKUP(A100, Health!A:B, 2, FALSE)</f>
        <v>38.7</v>
      </c>
      <c r="F100" s="5">
        <f>VLOOKUP(A100, Political!A:H, 8, FALSE)</f>
        <v>4.769830475</v>
      </c>
      <c r="G100" s="6">
        <f>VLOOKUP(A100, Pollution!A:B, 2, FALSE)</f>
        <v>75.6</v>
      </c>
      <c r="H100" s="7">
        <v>2821.0</v>
      </c>
      <c r="I100" s="5">
        <f>VLOOKUP(A100, English!A:C, 3, FALSE)</f>
        <v>510</v>
      </c>
      <c r="J100" s="5" t="str">
        <f>VLOOKUP(A100, Openness!A:C, 2, FALSE)</f>
        <v>#N/A</v>
      </c>
      <c r="K100" s="5" t="str">
        <f>VLOOKUP(A100, Scenic!A:B, 2, FALSE)</f>
        <v>#N/A</v>
      </c>
      <c r="L100" s="5">
        <f>VLOOKUP(A100, Disaster!A:H, 3, FALSE)</f>
        <v>24.2</v>
      </c>
    </row>
    <row r="101" ht="15.75" customHeight="1">
      <c r="A101" s="4" t="s">
        <v>111</v>
      </c>
      <c r="B101" s="4">
        <v>228.51</v>
      </c>
      <c r="C101" s="1">
        <f>VLOOKUP(A101, Sheet1!A:B, 2, FALSE)</f>
        <v>14.1</v>
      </c>
      <c r="D101" s="5">
        <f>VLOOKUP(A101, Safety!A:B, 2, FALSE)</f>
        <v>63.3</v>
      </c>
      <c r="E101" s="5">
        <f>VLOOKUP(A101, Health!A:B, 2, FALSE)</f>
        <v>57.7</v>
      </c>
      <c r="F101" s="5">
        <f>VLOOKUP(A101, Political!A:H, 8, FALSE)</f>
        <v>33.88990847</v>
      </c>
      <c r="G101" s="6">
        <f>VLOOKUP(A101, Pollution!A:B, 2, FALSE)</f>
        <v>84.2</v>
      </c>
      <c r="H101" s="7">
        <v>3147.0</v>
      </c>
      <c r="I101" s="5">
        <f>VLOOKUP(A101, English!A:C, 3, FALSE)</f>
        <v>512</v>
      </c>
      <c r="J101" s="5" t="str">
        <f>VLOOKUP(A101, Openness!A:C, 2, FALSE)</f>
        <v>#N/A</v>
      </c>
      <c r="K101" s="5" t="str">
        <f>VLOOKUP(A101, Scenic!A:B, 2, FALSE)</f>
        <v>#N/A</v>
      </c>
      <c r="L101" s="5">
        <f>VLOOKUP(A101, Disaster!A:H, 3, FALSE)</f>
        <v>2.71</v>
      </c>
    </row>
    <row r="102" ht="15.75" customHeight="1">
      <c r="A102" s="4" t="s">
        <v>112</v>
      </c>
      <c r="B102" s="4">
        <v>197.61</v>
      </c>
      <c r="C102" s="1">
        <f>VLOOKUP(A102, Sheet1!A:B, 2, FALSE)</f>
        <v>21.5</v>
      </c>
      <c r="D102" s="5">
        <f>VLOOKUP(A102, Safety!A:B, 2, FALSE)</f>
        <v>57.9</v>
      </c>
      <c r="E102" s="5">
        <f>VLOOKUP(A102, Health!A:B, 2, FALSE)</f>
        <v>71.4</v>
      </c>
      <c r="F102" s="5">
        <f>VLOOKUP(A102, Political!A:H, 8, FALSE)</f>
        <v>38.24154059</v>
      </c>
      <c r="G102" s="6">
        <f>VLOOKUP(A102, Pollution!A:B, 2, FALSE)</f>
        <v>58.5</v>
      </c>
      <c r="H102" s="8"/>
      <c r="I102" s="5">
        <f>VLOOKUP(A102, English!A:C, 3, FALSE)</f>
        <v>486</v>
      </c>
      <c r="J102" s="5" t="str">
        <f>VLOOKUP(A102, Openness!A:C, 2, FALSE)</f>
        <v>#N/A</v>
      </c>
      <c r="K102" s="5">
        <f>VLOOKUP(A102, Scenic!A:B, 2, FALSE)</f>
        <v>37</v>
      </c>
      <c r="L102" s="5">
        <f>VLOOKUP(A102, Disaster!A:H, 3, FALSE)</f>
        <v>6.16</v>
      </c>
    </row>
    <row r="103" ht="15.75" customHeight="1">
      <c r="A103" s="4" t="s">
        <v>113</v>
      </c>
      <c r="B103" s="4">
        <v>189.88</v>
      </c>
      <c r="C103" s="1">
        <f>VLOOKUP(A103, Sheet1!A:B, 2, FALSE)</f>
        <v>22.4</v>
      </c>
      <c r="D103" s="5">
        <f>VLOOKUP(A103, Safety!A:B, 2, FALSE)</f>
        <v>54.6</v>
      </c>
      <c r="E103" s="5">
        <f>VLOOKUP(A103, Health!A:B, 2, FALSE)</f>
        <v>57.4</v>
      </c>
      <c r="F103" s="5">
        <f>VLOOKUP(A103, Political!A:H, 8, FALSE)</f>
        <v>49.94636154</v>
      </c>
      <c r="G103" s="6">
        <f>VLOOKUP(A103, Pollution!A:B, 2, FALSE)</f>
        <v>87</v>
      </c>
      <c r="H103" s="7">
        <v>1643.0</v>
      </c>
      <c r="I103" s="5">
        <f>VLOOKUP(A103, English!A:C, 3, FALSE)</f>
        <v>534</v>
      </c>
      <c r="J103" s="5" t="str">
        <f>VLOOKUP(A103, Openness!A:C, 2, FALSE)</f>
        <v>#N/A</v>
      </c>
      <c r="K103" s="5">
        <f>VLOOKUP(A103, Scenic!A:B, 2, FALSE)</f>
        <v>81</v>
      </c>
      <c r="L103" s="5">
        <f>VLOOKUP(A103, Disaster!A:H, 3, FALSE)</f>
        <v>2.94</v>
      </c>
    </row>
    <row r="104" ht="15.75" customHeight="1">
      <c r="A104" s="4" t="s">
        <v>114</v>
      </c>
      <c r="B104" s="4">
        <v>181.6</v>
      </c>
      <c r="C104" s="1">
        <f>VLOOKUP(A104, Sheet1!A:B, 2, FALSE)</f>
        <v>11.2</v>
      </c>
      <c r="D104" s="5">
        <f>VLOOKUP(A104, Safety!A:B, 2, FALSE)</f>
        <v>56.3</v>
      </c>
      <c r="E104" s="5">
        <f>VLOOKUP(A104, Health!A:B, 2, FALSE)</f>
        <v>59.3</v>
      </c>
      <c r="F104" s="5">
        <f>VLOOKUP(A104, Political!A:H, 8, FALSE)</f>
        <v>20.04005408</v>
      </c>
      <c r="G104" s="6">
        <f>VLOOKUP(A104, Pollution!A:B, 2, FALSE)</f>
        <v>73.2</v>
      </c>
      <c r="H104" s="7">
        <v>1908.0</v>
      </c>
      <c r="I104" s="5">
        <f>VLOOKUP(A104, English!A:C, 3, FALSE)</f>
        <v>493</v>
      </c>
      <c r="J104" s="5" t="str">
        <f>VLOOKUP(A104, Openness!A:C, 2, FALSE)</f>
        <v>#N/A</v>
      </c>
      <c r="K104" s="5" t="str">
        <f>VLOOKUP(A104, Scenic!A:B, 2, FALSE)</f>
        <v>#N/A</v>
      </c>
      <c r="L104" s="5">
        <f>VLOOKUP(A104, Disaster!A:H, 3, FALSE)</f>
        <v>27.02</v>
      </c>
    </row>
    <row r="105" ht="15.75" customHeight="1">
      <c r="A105" s="4" t="s">
        <v>115</v>
      </c>
      <c r="B105" s="4">
        <v>177.32</v>
      </c>
      <c r="C105" s="1">
        <f>VLOOKUP(A105, Sheet1!A:B, 2, FALSE)</f>
        <v>18.2</v>
      </c>
      <c r="D105" s="5">
        <f>VLOOKUP(A105, Safety!A:B, 2, FALSE)</f>
        <v>45.9</v>
      </c>
      <c r="E105" s="5" t="str">
        <f>VLOOKUP(A105, Health!A:B, 2, FALSE)</f>
        <v>#N/A</v>
      </c>
      <c r="F105" s="5">
        <f>VLOOKUP(A105, Political!A:H, 8, FALSE)</f>
        <v>27.32289728</v>
      </c>
      <c r="G105" s="5" t="str">
        <f>VLOOKUP(A105, Pollution!A:B, 2, FALSE)</f>
        <v>#N/A</v>
      </c>
      <c r="H105" s="7">
        <v>3481.0</v>
      </c>
      <c r="I105" s="5">
        <f>VLOOKUP(A105, English!A:C, 3, FALSE)</f>
        <v>518</v>
      </c>
      <c r="J105" s="5" t="str">
        <f>VLOOKUP(A105, Openness!A:C, 2, FALSE)</f>
        <v>#N/A</v>
      </c>
      <c r="K105" s="5" t="str">
        <f>VLOOKUP(A105, Scenic!A:B, 2, FALSE)</f>
        <v>#N/A</v>
      </c>
      <c r="L105" s="5">
        <f>VLOOKUP(A105, Disaster!A:H, 3, FALSE)</f>
        <v>2.81</v>
      </c>
    </row>
    <row r="106" ht="15.75" customHeight="1">
      <c r="A106" s="4" t="s">
        <v>116</v>
      </c>
      <c r="B106" s="4">
        <v>147.61</v>
      </c>
      <c r="C106" s="1">
        <f>VLOOKUP(A106, Sheet1!A:B, 2, FALSE)</f>
        <v>12.2</v>
      </c>
      <c r="D106" s="5">
        <f>VLOOKUP(A106, Safety!A:B, 2, FALSE)</f>
        <v>52.7</v>
      </c>
      <c r="E106" s="5">
        <f>VLOOKUP(A106, Health!A:B, 2, FALSE)</f>
        <v>47.3</v>
      </c>
      <c r="F106" s="5">
        <f>VLOOKUP(A106, Political!A:H, 8, FALSE)</f>
        <v>27.51797342</v>
      </c>
      <c r="G106" s="6">
        <f>VLOOKUP(A106, Pollution!A:B, 2, FALSE)</f>
        <v>82.7</v>
      </c>
      <c r="H106" s="7">
        <v>2896.0</v>
      </c>
      <c r="I106" s="5">
        <f>VLOOKUP(A106, English!A:C, 3, FALSE)</f>
        <v>465</v>
      </c>
      <c r="J106" s="5">
        <f>VLOOKUP(A106, Openness!A:C, 2, FALSE)</f>
        <v>14</v>
      </c>
      <c r="K106" s="5">
        <f>VLOOKUP(A106, Scenic!A:B, 2, FALSE)</f>
        <v>16</v>
      </c>
      <c r="L106" s="5">
        <f>VLOOKUP(A106, Disaster!A:H, 3, FALSE)</f>
        <v>18.78</v>
      </c>
    </row>
    <row r="107" ht="15.75" customHeight="1">
      <c r="A107" s="4" t="s">
        <v>117</v>
      </c>
      <c r="B107" s="4">
        <v>122.75</v>
      </c>
      <c r="C107" s="1">
        <f>VLOOKUP(A107, Sheet1!A:B, 2, FALSE)</f>
        <v>24.4</v>
      </c>
      <c r="D107" s="5">
        <f>VLOOKUP(A107, Safety!A:B, 2, FALSE)</f>
        <v>33.4</v>
      </c>
      <c r="E107" s="5">
        <f>VLOOKUP(A107, Health!A:B, 2, FALSE)</f>
        <v>49.1</v>
      </c>
      <c r="F107" s="5">
        <f>VLOOKUP(A107, Political!A:H, 8, FALSE)</f>
        <v>19.07736317</v>
      </c>
      <c r="G107" s="6">
        <f>VLOOKUP(A107, Pollution!A:B, 2, FALSE)</f>
        <v>88.2</v>
      </c>
      <c r="H107" s="8"/>
      <c r="I107" s="5">
        <f>VLOOKUP(A107, English!A:C, 3, FALSE)</f>
        <v>557</v>
      </c>
      <c r="J107" s="5" t="str">
        <f>VLOOKUP(A107, Openness!A:C, 2, FALSE)</f>
        <v>#N/A</v>
      </c>
      <c r="K107" s="5" t="str">
        <f>VLOOKUP(A107, Scenic!A:B, 2, FALSE)</f>
        <v>#N/A</v>
      </c>
      <c r="L107" s="5">
        <f>VLOOKUP(A107, Disaster!A:H, 3, FALSE)</f>
        <v>9.33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0</v>
      </c>
      <c r="B1" s="2" t="s">
        <v>118</v>
      </c>
    </row>
    <row r="2" ht="15.75" customHeight="1">
      <c r="A2" s="19" t="s">
        <v>119</v>
      </c>
      <c r="B2" s="19">
        <v>84.7</v>
      </c>
    </row>
    <row r="3" ht="15.75" customHeight="1">
      <c r="A3" s="19" t="s">
        <v>23</v>
      </c>
      <c r="B3" s="19">
        <v>84.5</v>
      </c>
    </row>
    <row r="4" ht="15.75" customHeight="1">
      <c r="A4" s="19" t="s">
        <v>26</v>
      </c>
      <c r="B4" s="19">
        <v>84.2</v>
      </c>
    </row>
    <row r="5" ht="15.75" customHeight="1">
      <c r="A5" s="19" t="s">
        <v>48</v>
      </c>
      <c r="B5" s="19">
        <v>82.9</v>
      </c>
    </row>
    <row r="6" ht="15.75" customHeight="1">
      <c r="A6" s="19" t="s">
        <v>41</v>
      </c>
      <c r="B6" s="19">
        <v>81.7</v>
      </c>
    </row>
    <row r="7" ht="15.75" customHeight="1">
      <c r="A7" s="19" t="s">
        <v>120</v>
      </c>
      <c r="B7" s="19">
        <v>79.0</v>
      </c>
    </row>
    <row r="8" ht="15.75" customHeight="1">
      <c r="A8" s="19" t="s">
        <v>19</v>
      </c>
      <c r="B8" s="19">
        <v>78.5</v>
      </c>
    </row>
    <row r="9" ht="15.75" customHeight="1">
      <c r="A9" s="19" t="s">
        <v>84</v>
      </c>
      <c r="B9" s="19">
        <v>77.9</v>
      </c>
    </row>
    <row r="10" ht="15.75" customHeight="1">
      <c r="A10" s="19" t="s">
        <v>15</v>
      </c>
      <c r="B10" s="19">
        <v>77.4</v>
      </c>
    </row>
    <row r="11" ht="15.75" customHeight="1">
      <c r="A11" s="19" t="s">
        <v>40</v>
      </c>
      <c r="B11" s="19">
        <v>77.1</v>
      </c>
    </row>
    <row r="12" ht="15.75" customHeight="1">
      <c r="A12" s="19" t="s">
        <v>121</v>
      </c>
      <c r="B12" s="19">
        <v>76.7</v>
      </c>
    </row>
    <row r="13" ht="15.75" customHeight="1">
      <c r="A13" s="19" t="s">
        <v>47</v>
      </c>
      <c r="B13" s="19">
        <v>76.3</v>
      </c>
    </row>
    <row r="14" ht="15.75" customHeight="1">
      <c r="A14" s="19" t="s">
        <v>46</v>
      </c>
      <c r="B14" s="19">
        <v>76.2</v>
      </c>
    </row>
    <row r="15" ht="15.75" customHeight="1">
      <c r="A15" s="19" t="s">
        <v>39</v>
      </c>
      <c r="B15" s="19">
        <v>76.1</v>
      </c>
    </row>
    <row r="16" ht="15.75" customHeight="1">
      <c r="A16" s="19" t="s">
        <v>59</v>
      </c>
      <c r="B16" s="19">
        <v>76.0</v>
      </c>
    </row>
    <row r="17" ht="15.75" customHeight="1">
      <c r="A17" s="19" t="s">
        <v>32</v>
      </c>
      <c r="B17" s="19">
        <v>75.5</v>
      </c>
    </row>
    <row r="18" ht="15.75" customHeight="1">
      <c r="A18" s="19" t="s">
        <v>37</v>
      </c>
      <c r="B18" s="19">
        <v>75.1</v>
      </c>
    </row>
    <row r="19" ht="15.75" customHeight="1">
      <c r="A19" s="19" t="s">
        <v>51</v>
      </c>
      <c r="B19" s="19">
        <v>74.5</v>
      </c>
    </row>
    <row r="20" ht="15.75" customHeight="1">
      <c r="A20" s="19" t="s">
        <v>16</v>
      </c>
      <c r="B20" s="19">
        <v>74.3</v>
      </c>
    </row>
    <row r="21" ht="15.75" customHeight="1">
      <c r="A21" s="19" t="s">
        <v>17</v>
      </c>
      <c r="B21" s="19">
        <v>74.0</v>
      </c>
    </row>
    <row r="22" ht="15.75" customHeight="1">
      <c r="A22" s="19" t="s">
        <v>86</v>
      </c>
      <c r="B22" s="19">
        <v>73.7</v>
      </c>
    </row>
    <row r="23" ht="15.75" customHeight="1">
      <c r="A23" s="19" t="s">
        <v>45</v>
      </c>
      <c r="B23" s="19">
        <v>73.5</v>
      </c>
    </row>
    <row r="24" ht="15.75" customHeight="1">
      <c r="A24" s="19" t="s">
        <v>12</v>
      </c>
      <c r="B24" s="19">
        <v>73.5</v>
      </c>
    </row>
    <row r="25" ht="15.75" customHeight="1">
      <c r="A25" s="19" t="s">
        <v>31</v>
      </c>
      <c r="B25" s="19">
        <v>73.2</v>
      </c>
    </row>
    <row r="26" ht="15.75" customHeight="1">
      <c r="A26" s="19" t="s">
        <v>122</v>
      </c>
      <c r="B26" s="19">
        <v>73.1</v>
      </c>
    </row>
    <row r="27" ht="15.75" customHeight="1">
      <c r="A27" s="19" t="s">
        <v>20</v>
      </c>
      <c r="B27" s="19">
        <v>73.1</v>
      </c>
    </row>
    <row r="28" ht="15.75" customHeight="1">
      <c r="A28" s="19" t="s">
        <v>94</v>
      </c>
      <c r="B28" s="19">
        <v>72.1</v>
      </c>
    </row>
    <row r="29" ht="15.75" customHeight="1">
      <c r="A29" s="19" t="s">
        <v>49</v>
      </c>
      <c r="B29" s="19">
        <v>71.0</v>
      </c>
    </row>
    <row r="30" ht="15.75" customHeight="1">
      <c r="A30" s="19" t="s">
        <v>123</v>
      </c>
      <c r="B30" s="19">
        <v>70.7</v>
      </c>
    </row>
    <row r="31" ht="15.75" customHeight="1">
      <c r="A31" s="19" t="s">
        <v>34</v>
      </c>
      <c r="B31" s="19">
        <v>70.5</v>
      </c>
    </row>
    <row r="32" ht="15.75" customHeight="1">
      <c r="A32" s="19" t="s">
        <v>124</v>
      </c>
      <c r="B32" s="19">
        <v>69.2</v>
      </c>
    </row>
    <row r="33" ht="15.75" customHeight="1">
      <c r="A33" s="19" t="s">
        <v>54</v>
      </c>
      <c r="B33" s="19">
        <v>69.0</v>
      </c>
    </row>
    <row r="34" ht="15.75" customHeight="1">
      <c r="A34" s="19" t="s">
        <v>95</v>
      </c>
      <c r="B34" s="19">
        <v>68.2</v>
      </c>
    </row>
    <row r="35" ht="15.75" customHeight="1">
      <c r="A35" s="19" t="s">
        <v>27</v>
      </c>
      <c r="B35" s="19">
        <v>68.2</v>
      </c>
    </row>
    <row r="36" ht="15.75" customHeight="1">
      <c r="A36" s="19" t="s">
        <v>56</v>
      </c>
      <c r="B36" s="19">
        <v>67.9</v>
      </c>
    </row>
    <row r="37" ht="15.75" customHeight="1">
      <c r="A37" s="19" t="s">
        <v>60</v>
      </c>
      <c r="B37" s="19">
        <v>67.7</v>
      </c>
    </row>
    <row r="38" ht="15.75" customHeight="1">
      <c r="A38" s="19" t="s">
        <v>52</v>
      </c>
      <c r="B38" s="19">
        <v>67.6</v>
      </c>
    </row>
    <row r="39" ht="15.75" customHeight="1">
      <c r="A39" s="19" t="s">
        <v>36</v>
      </c>
      <c r="B39" s="19">
        <v>67.2</v>
      </c>
    </row>
    <row r="40" ht="15.75" customHeight="1">
      <c r="A40" s="19" t="s">
        <v>21</v>
      </c>
      <c r="B40" s="19">
        <v>67.0</v>
      </c>
    </row>
    <row r="41" ht="15.75" customHeight="1">
      <c r="A41" s="19" t="s">
        <v>43</v>
      </c>
      <c r="B41" s="19">
        <v>66.9</v>
      </c>
    </row>
    <row r="42" ht="15.75" customHeight="1">
      <c r="A42" s="19" t="s">
        <v>58</v>
      </c>
      <c r="B42" s="19">
        <v>66.3</v>
      </c>
    </row>
    <row r="43" ht="15.75" customHeight="1">
      <c r="A43" s="19" t="s">
        <v>13</v>
      </c>
      <c r="B43" s="19">
        <v>65.8</v>
      </c>
    </row>
    <row r="44" ht="15.75" customHeight="1">
      <c r="A44" s="19" t="s">
        <v>125</v>
      </c>
      <c r="B44" s="19">
        <v>65.6</v>
      </c>
    </row>
    <row r="45" ht="15.75" customHeight="1">
      <c r="A45" s="19" t="s">
        <v>67</v>
      </c>
      <c r="B45" s="19">
        <v>64.6</v>
      </c>
    </row>
    <row r="46" ht="15.75" customHeight="1">
      <c r="A46" s="19" t="s">
        <v>57</v>
      </c>
      <c r="B46" s="19">
        <v>63.9</v>
      </c>
    </row>
    <row r="47" ht="15.75" customHeight="1">
      <c r="A47" s="19" t="s">
        <v>42</v>
      </c>
      <c r="B47" s="19">
        <v>63.4</v>
      </c>
    </row>
    <row r="48" ht="15.75" customHeight="1">
      <c r="A48" s="19" t="s">
        <v>111</v>
      </c>
      <c r="B48" s="19">
        <v>63.3</v>
      </c>
    </row>
    <row r="49" ht="15.75" customHeight="1">
      <c r="A49" s="19" t="s">
        <v>55</v>
      </c>
      <c r="B49" s="19">
        <v>62.9</v>
      </c>
    </row>
    <row r="50" ht="15.75" customHeight="1">
      <c r="A50" s="19" t="s">
        <v>69</v>
      </c>
      <c r="B50" s="19">
        <v>62.8</v>
      </c>
    </row>
    <row r="51" ht="15.75" customHeight="1">
      <c r="A51" s="19" t="s">
        <v>81</v>
      </c>
      <c r="B51" s="19">
        <v>62.7</v>
      </c>
    </row>
    <row r="52" ht="15.75" customHeight="1">
      <c r="A52" s="19" t="s">
        <v>72</v>
      </c>
      <c r="B52" s="19">
        <v>61.3</v>
      </c>
    </row>
    <row r="53" ht="15.75" customHeight="1">
      <c r="A53" s="19" t="s">
        <v>28</v>
      </c>
      <c r="B53" s="19">
        <v>60.6</v>
      </c>
    </row>
    <row r="54" ht="15.75" customHeight="1">
      <c r="A54" s="19" t="s">
        <v>76</v>
      </c>
      <c r="B54" s="19">
        <v>60.0</v>
      </c>
    </row>
    <row r="55" ht="15.75" customHeight="1">
      <c r="A55" s="19" t="s">
        <v>88</v>
      </c>
      <c r="B55" s="19">
        <v>59.2</v>
      </c>
    </row>
    <row r="56" ht="15.75" customHeight="1">
      <c r="A56" s="19" t="s">
        <v>96</v>
      </c>
      <c r="B56" s="19">
        <v>59.2</v>
      </c>
    </row>
    <row r="57" ht="15.75" customHeight="1">
      <c r="A57" s="19" t="s">
        <v>77</v>
      </c>
      <c r="B57" s="19">
        <v>58.9</v>
      </c>
    </row>
    <row r="58" ht="15.75" customHeight="1">
      <c r="A58" s="19" t="s">
        <v>73</v>
      </c>
      <c r="B58" s="19">
        <v>58.8</v>
      </c>
    </row>
    <row r="59" ht="15.75" customHeight="1">
      <c r="A59" s="19" t="s">
        <v>74</v>
      </c>
      <c r="B59" s="19">
        <v>58.3</v>
      </c>
    </row>
    <row r="60" ht="15.75" customHeight="1">
      <c r="A60" s="19" t="s">
        <v>112</v>
      </c>
      <c r="B60" s="19">
        <v>57.9</v>
      </c>
    </row>
    <row r="61" ht="15.75" customHeight="1">
      <c r="A61" s="19" t="s">
        <v>66</v>
      </c>
      <c r="B61" s="19">
        <v>57.3</v>
      </c>
    </row>
    <row r="62" ht="15.75" customHeight="1">
      <c r="A62" s="19" t="s">
        <v>126</v>
      </c>
      <c r="B62" s="19">
        <v>57.2</v>
      </c>
    </row>
    <row r="63" ht="15.75" customHeight="1">
      <c r="A63" s="19" t="s">
        <v>50</v>
      </c>
      <c r="B63" s="19">
        <v>57.0</v>
      </c>
    </row>
    <row r="64" ht="15.75" customHeight="1">
      <c r="A64" s="19" t="s">
        <v>101</v>
      </c>
      <c r="B64" s="19">
        <v>56.9</v>
      </c>
    </row>
    <row r="65" ht="15.75" customHeight="1">
      <c r="A65" s="19" t="s">
        <v>91</v>
      </c>
      <c r="B65" s="19">
        <v>56.9</v>
      </c>
    </row>
    <row r="66" ht="15.75" customHeight="1">
      <c r="A66" s="19" t="s">
        <v>114</v>
      </c>
      <c r="B66" s="19">
        <v>56.3</v>
      </c>
    </row>
    <row r="67" ht="15.75" customHeight="1">
      <c r="A67" s="19" t="s">
        <v>71</v>
      </c>
      <c r="B67" s="19">
        <v>55.7</v>
      </c>
    </row>
    <row r="68" ht="15.75" customHeight="1">
      <c r="A68" s="19" t="s">
        <v>79</v>
      </c>
      <c r="B68" s="19">
        <v>55.7</v>
      </c>
    </row>
    <row r="69" ht="15.75" customHeight="1">
      <c r="A69" s="19" t="s">
        <v>78</v>
      </c>
      <c r="B69" s="19">
        <v>55.3</v>
      </c>
    </row>
    <row r="70" ht="15.75" customHeight="1">
      <c r="A70" s="19" t="s">
        <v>127</v>
      </c>
      <c r="B70" s="19">
        <v>55.1</v>
      </c>
    </row>
    <row r="71" ht="15.75" customHeight="1">
      <c r="A71" s="19" t="s">
        <v>105</v>
      </c>
      <c r="B71" s="19">
        <v>54.9</v>
      </c>
    </row>
    <row r="72" ht="15.75" customHeight="1">
      <c r="A72" s="19" t="s">
        <v>80</v>
      </c>
      <c r="B72" s="19">
        <v>54.8</v>
      </c>
    </row>
    <row r="73" ht="15.75" customHeight="1">
      <c r="A73" s="19" t="s">
        <v>113</v>
      </c>
      <c r="B73" s="19">
        <v>54.6</v>
      </c>
    </row>
    <row r="74" ht="15.75" customHeight="1">
      <c r="A74" s="19" t="s">
        <v>128</v>
      </c>
      <c r="B74" s="19">
        <v>54.5</v>
      </c>
    </row>
    <row r="75" ht="15.75" customHeight="1">
      <c r="A75" s="19" t="s">
        <v>129</v>
      </c>
      <c r="B75" s="19">
        <v>54.4</v>
      </c>
    </row>
    <row r="76" ht="15.75" customHeight="1">
      <c r="A76" s="19" t="s">
        <v>30</v>
      </c>
      <c r="B76" s="19">
        <v>54.3</v>
      </c>
    </row>
    <row r="77" ht="15.75" customHeight="1">
      <c r="A77" s="19" t="s">
        <v>104</v>
      </c>
      <c r="B77" s="19">
        <v>54.0</v>
      </c>
    </row>
    <row r="78" ht="15.75" customHeight="1">
      <c r="A78" s="19" t="s">
        <v>62</v>
      </c>
      <c r="B78" s="19">
        <v>53.6</v>
      </c>
    </row>
    <row r="79" ht="15.75" customHeight="1">
      <c r="A79" s="19" t="s">
        <v>83</v>
      </c>
      <c r="B79" s="19">
        <v>53.2</v>
      </c>
    </row>
    <row r="80" ht="15.75" customHeight="1">
      <c r="A80" s="19" t="s">
        <v>44</v>
      </c>
      <c r="B80" s="19">
        <v>53.1</v>
      </c>
    </row>
    <row r="81" ht="15.75" customHeight="1">
      <c r="A81" s="19" t="s">
        <v>92</v>
      </c>
      <c r="B81" s="19">
        <v>53.0</v>
      </c>
    </row>
    <row r="82" ht="15.75" customHeight="1">
      <c r="A82" s="19" t="s">
        <v>116</v>
      </c>
      <c r="B82" s="19">
        <v>52.7</v>
      </c>
    </row>
    <row r="83" ht="15.75" customHeight="1">
      <c r="A83" s="19" t="s">
        <v>18</v>
      </c>
      <c r="B83" s="19">
        <v>52.7</v>
      </c>
    </row>
    <row r="84" ht="15.75" customHeight="1">
      <c r="A84" s="19" t="s">
        <v>25</v>
      </c>
      <c r="B84" s="19">
        <v>52.4</v>
      </c>
    </row>
    <row r="85" ht="15.75" customHeight="1">
      <c r="A85" s="19" t="s">
        <v>93</v>
      </c>
      <c r="B85" s="19">
        <v>52.2</v>
      </c>
    </row>
    <row r="86" ht="15.75" customHeight="1">
      <c r="A86" s="19" t="s">
        <v>29</v>
      </c>
      <c r="B86" s="19">
        <v>52.0</v>
      </c>
    </row>
    <row r="87" ht="15.75" customHeight="1">
      <c r="A87" s="19" t="s">
        <v>24</v>
      </c>
      <c r="B87" s="19">
        <v>51.8</v>
      </c>
    </row>
    <row r="88" ht="15.75" customHeight="1">
      <c r="A88" s="19" t="s">
        <v>22</v>
      </c>
      <c r="B88" s="19">
        <v>51.7</v>
      </c>
    </row>
    <row r="89" ht="15.75" customHeight="1">
      <c r="A89" s="19" t="s">
        <v>61</v>
      </c>
      <c r="B89" s="19">
        <v>51.1</v>
      </c>
    </row>
    <row r="90" ht="15.75" customHeight="1">
      <c r="A90" s="19" t="s">
        <v>14</v>
      </c>
      <c r="B90" s="19">
        <v>50.8</v>
      </c>
    </row>
    <row r="91" ht="15.75" customHeight="1">
      <c r="A91" s="19" t="s">
        <v>33</v>
      </c>
      <c r="B91" s="19">
        <v>50.6</v>
      </c>
    </row>
    <row r="92" ht="15.75" customHeight="1">
      <c r="A92" s="19" t="s">
        <v>82</v>
      </c>
      <c r="B92" s="19">
        <v>50.2</v>
      </c>
    </row>
    <row r="93" ht="15.75" customHeight="1">
      <c r="A93" s="19" t="s">
        <v>75</v>
      </c>
      <c r="B93" s="19">
        <v>50.0</v>
      </c>
    </row>
    <row r="94" ht="15.75" customHeight="1">
      <c r="A94" s="19" t="s">
        <v>109</v>
      </c>
      <c r="B94" s="19">
        <v>49.5</v>
      </c>
    </row>
    <row r="95" ht="15.75" customHeight="1">
      <c r="A95" s="19" t="s">
        <v>130</v>
      </c>
      <c r="B95" s="19">
        <v>49.3</v>
      </c>
    </row>
    <row r="96" ht="15.75" customHeight="1">
      <c r="A96" s="19" t="s">
        <v>131</v>
      </c>
      <c r="B96" s="19">
        <v>49.2</v>
      </c>
    </row>
    <row r="97" ht="15.75" customHeight="1">
      <c r="A97" s="19" t="s">
        <v>132</v>
      </c>
      <c r="B97" s="19">
        <v>49.1</v>
      </c>
    </row>
    <row r="98" ht="15.75" customHeight="1">
      <c r="A98" s="19" t="s">
        <v>133</v>
      </c>
      <c r="B98" s="19">
        <v>48.7</v>
      </c>
    </row>
    <row r="99" ht="15.75" customHeight="1">
      <c r="A99" s="19" t="s">
        <v>63</v>
      </c>
      <c r="B99" s="19">
        <v>48.0</v>
      </c>
    </row>
    <row r="100" ht="15.75" customHeight="1">
      <c r="A100" s="19" t="s">
        <v>134</v>
      </c>
      <c r="B100" s="19">
        <v>47.9</v>
      </c>
    </row>
    <row r="101" ht="15.75" customHeight="1">
      <c r="A101" s="19" t="s">
        <v>107</v>
      </c>
      <c r="B101" s="19">
        <v>47.4</v>
      </c>
    </row>
    <row r="102" ht="15.75" customHeight="1">
      <c r="A102" s="19" t="s">
        <v>135</v>
      </c>
      <c r="B102" s="19">
        <v>47.3</v>
      </c>
    </row>
    <row r="103" ht="15.75" customHeight="1">
      <c r="A103" s="19" t="s">
        <v>136</v>
      </c>
      <c r="B103" s="19">
        <v>47.3</v>
      </c>
    </row>
    <row r="104" ht="15.75" customHeight="1">
      <c r="A104" s="19" t="s">
        <v>70</v>
      </c>
      <c r="B104" s="19">
        <v>46.6</v>
      </c>
    </row>
    <row r="105" ht="15.75" customHeight="1">
      <c r="A105" s="19" t="s">
        <v>137</v>
      </c>
      <c r="B105" s="19">
        <v>46.5</v>
      </c>
    </row>
    <row r="106" ht="15.75" customHeight="1">
      <c r="A106" s="19" t="s">
        <v>138</v>
      </c>
      <c r="B106" s="19">
        <v>45.9</v>
      </c>
    </row>
    <row r="107" ht="15.75" customHeight="1">
      <c r="A107" s="19" t="s">
        <v>139</v>
      </c>
      <c r="B107" s="19">
        <v>45.9</v>
      </c>
    </row>
    <row r="108" ht="15.75" customHeight="1">
      <c r="A108" s="19" t="s">
        <v>115</v>
      </c>
      <c r="B108" s="19">
        <v>45.9</v>
      </c>
    </row>
    <row r="109" ht="15.75" customHeight="1">
      <c r="A109" s="19" t="s">
        <v>64</v>
      </c>
      <c r="B109" s="19">
        <v>45.9</v>
      </c>
    </row>
    <row r="110" ht="15.75" customHeight="1">
      <c r="A110" s="19" t="s">
        <v>99</v>
      </c>
      <c r="B110" s="19">
        <v>45.7</v>
      </c>
    </row>
    <row r="111" ht="15.75" customHeight="1">
      <c r="A111" s="19" t="s">
        <v>35</v>
      </c>
      <c r="B111" s="19">
        <v>44.6</v>
      </c>
    </row>
    <row r="112" ht="15.75" customHeight="1">
      <c r="A112" s="19" t="s">
        <v>106</v>
      </c>
      <c r="B112" s="19">
        <v>44.0</v>
      </c>
    </row>
    <row r="113" ht="15.75" customHeight="1">
      <c r="A113" s="19" t="s">
        <v>140</v>
      </c>
      <c r="B113" s="19">
        <v>43.6</v>
      </c>
    </row>
    <row r="114" ht="15.75" customHeight="1">
      <c r="A114" s="19" t="s">
        <v>103</v>
      </c>
      <c r="B114" s="19">
        <v>43.6</v>
      </c>
    </row>
    <row r="115" ht="15.75" customHeight="1">
      <c r="A115" s="19" t="s">
        <v>141</v>
      </c>
      <c r="B115" s="19">
        <v>43.4</v>
      </c>
    </row>
    <row r="116" ht="15.75" customHeight="1">
      <c r="A116" s="19" t="s">
        <v>142</v>
      </c>
      <c r="B116" s="19">
        <v>43.1</v>
      </c>
    </row>
    <row r="117" ht="15.75" customHeight="1">
      <c r="A117" s="19" t="s">
        <v>143</v>
      </c>
      <c r="B117" s="19">
        <v>42.3</v>
      </c>
    </row>
    <row r="118" ht="15.75" customHeight="1">
      <c r="A118" s="19" t="s">
        <v>144</v>
      </c>
      <c r="B118" s="19">
        <v>41.4</v>
      </c>
    </row>
    <row r="119" ht="15.75" customHeight="1">
      <c r="A119" s="19" t="s">
        <v>100</v>
      </c>
      <c r="B119" s="19">
        <v>40.2</v>
      </c>
    </row>
    <row r="120" ht="15.75" customHeight="1">
      <c r="A120" s="19" t="s">
        <v>145</v>
      </c>
      <c r="B120" s="19">
        <v>40.1</v>
      </c>
    </row>
    <row r="121" ht="15.75" customHeight="1">
      <c r="A121" s="19" t="s">
        <v>146</v>
      </c>
      <c r="B121" s="19">
        <v>39.9</v>
      </c>
    </row>
    <row r="122" ht="15.75" customHeight="1">
      <c r="A122" s="19" t="s">
        <v>97</v>
      </c>
      <c r="B122" s="19">
        <v>39.5</v>
      </c>
    </row>
    <row r="123" ht="15.75" customHeight="1">
      <c r="A123" s="19" t="s">
        <v>65</v>
      </c>
      <c r="B123" s="19">
        <v>39.5</v>
      </c>
    </row>
    <row r="124" ht="15.75" customHeight="1">
      <c r="A124" s="19" t="s">
        <v>102</v>
      </c>
      <c r="B124" s="19">
        <v>39.3</v>
      </c>
    </row>
    <row r="125" ht="15.75" customHeight="1">
      <c r="A125" s="19" t="s">
        <v>98</v>
      </c>
      <c r="B125" s="19">
        <v>39.1</v>
      </c>
    </row>
    <row r="126" ht="15.75" customHeight="1">
      <c r="A126" s="19" t="s">
        <v>38</v>
      </c>
      <c r="B126" s="19">
        <v>38.5</v>
      </c>
    </row>
    <row r="127" ht="15.75" customHeight="1">
      <c r="A127" s="19" t="s">
        <v>108</v>
      </c>
      <c r="B127" s="19">
        <v>38.4</v>
      </c>
    </row>
    <row r="128" ht="15.75" customHeight="1">
      <c r="A128" s="19" t="s">
        <v>90</v>
      </c>
      <c r="B128" s="19">
        <v>37.5</v>
      </c>
    </row>
    <row r="129" ht="15.75" customHeight="1">
      <c r="A129" s="19" t="s">
        <v>85</v>
      </c>
      <c r="B129" s="19">
        <v>36.6</v>
      </c>
    </row>
    <row r="130" ht="15.75" customHeight="1">
      <c r="A130" s="19" t="s">
        <v>147</v>
      </c>
      <c r="B130" s="19">
        <v>36.5</v>
      </c>
    </row>
    <row r="131" ht="15.75" customHeight="1">
      <c r="A131" s="19" t="s">
        <v>148</v>
      </c>
      <c r="B131" s="19">
        <v>36.3</v>
      </c>
    </row>
    <row r="132" ht="15.75" customHeight="1">
      <c r="A132" s="19" t="s">
        <v>149</v>
      </c>
      <c r="B132" s="19">
        <v>36.1</v>
      </c>
    </row>
    <row r="133" ht="15.75" customHeight="1">
      <c r="A133" s="19" t="s">
        <v>89</v>
      </c>
      <c r="B133" s="19">
        <v>35.5</v>
      </c>
    </row>
    <row r="134" ht="15.75" customHeight="1">
      <c r="A134" s="19" t="s">
        <v>150</v>
      </c>
      <c r="B134" s="19">
        <v>35.0</v>
      </c>
    </row>
    <row r="135" ht="15.75" customHeight="1">
      <c r="A135" s="19" t="s">
        <v>151</v>
      </c>
      <c r="B135" s="19">
        <v>34.5</v>
      </c>
    </row>
    <row r="136" ht="15.75" customHeight="1">
      <c r="A136" s="19" t="s">
        <v>152</v>
      </c>
      <c r="B136" s="19">
        <v>33.7</v>
      </c>
    </row>
    <row r="137" ht="15.75" customHeight="1">
      <c r="A137" s="19" t="s">
        <v>153</v>
      </c>
      <c r="B137" s="19">
        <v>33.7</v>
      </c>
    </row>
    <row r="138" ht="15.75" customHeight="1">
      <c r="A138" s="19" t="s">
        <v>117</v>
      </c>
      <c r="B138" s="19">
        <v>33.4</v>
      </c>
    </row>
    <row r="139" ht="15.75" customHeight="1">
      <c r="A139" s="19" t="s">
        <v>87</v>
      </c>
      <c r="B139" s="19">
        <v>32.9</v>
      </c>
    </row>
    <row r="140" ht="15.75" customHeight="1">
      <c r="A140" s="19" t="s">
        <v>154</v>
      </c>
      <c r="B140" s="19">
        <v>32.6</v>
      </c>
    </row>
    <row r="141" ht="15.75" customHeight="1">
      <c r="A141" s="19" t="s">
        <v>155</v>
      </c>
      <c r="B141" s="19">
        <v>31.9</v>
      </c>
    </row>
    <row r="142" ht="15.75" customHeight="1">
      <c r="A142" s="19" t="s">
        <v>68</v>
      </c>
      <c r="B142" s="5">
        <v>29.1</v>
      </c>
    </row>
    <row r="143" ht="15.75" customHeight="1">
      <c r="A143" s="19" t="s">
        <v>156</v>
      </c>
      <c r="B143" s="19">
        <v>28.0</v>
      </c>
    </row>
    <row r="144" ht="15.75" customHeight="1">
      <c r="A144" s="19" t="s">
        <v>53</v>
      </c>
      <c r="B144" s="5">
        <v>25.3</v>
      </c>
    </row>
    <row r="145" ht="15.75" customHeight="1">
      <c r="A145" s="19" t="s">
        <v>157</v>
      </c>
      <c r="B145" s="5">
        <v>24.9</v>
      </c>
    </row>
    <row r="146" ht="15.75" customHeight="1">
      <c r="A146" s="19" t="s">
        <v>158</v>
      </c>
      <c r="B146" s="5">
        <v>21.1</v>
      </c>
    </row>
    <row r="147" ht="15.75" customHeight="1">
      <c r="A147" s="19" t="s">
        <v>159</v>
      </c>
      <c r="B147" s="5">
        <v>19.7</v>
      </c>
    </row>
    <row r="148" ht="15.75" customHeight="1">
      <c r="A148" s="19" t="s">
        <v>110</v>
      </c>
      <c r="B148" s="5">
        <v>19.3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0</v>
      </c>
      <c r="B1" s="2" t="s">
        <v>160</v>
      </c>
    </row>
    <row r="2" ht="15.75" customHeight="1">
      <c r="A2" s="19" t="s">
        <v>48</v>
      </c>
      <c r="B2" s="19">
        <v>86.5</v>
      </c>
    </row>
    <row r="3" ht="15.75" customHeight="1">
      <c r="A3" s="19" t="s">
        <v>37</v>
      </c>
      <c r="B3" s="19">
        <v>82.8</v>
      </c>
    </row>
    <row r="4" ht="15.75" customHeight="1">
      <c r="A4" s="19" t="s">
        <v>40</v>
      </c>
      <c r="B4" s="19">
        <v>80.0</v>
      </c>
    </row>
    <row r="5" ht="15.75" customHeight="1">
      <c r="A5" s="19" t="s">
        <v>20</v>
      </c>
      <c r="B5" s="19">
        <v>79.3</v>
      </c>
    </row>
    <row r="6" ht="15.75" customHeight="1">
      <c r="A6" s="19" t="s">
        <v>17</v>
      </c>
      <c r="B6" s="19">
        <v>78.4</v>
      </c>
    </row>
    <row r="7" ht="15.75" customHeight="1">
      <c r="A7" s="19" t="s">
        <v>34</v>
      </c>
      <c r="B7" s="19">
        <v>77.9</v>
      </c>
    </row>
    <row r="8" ht="15.75" customHeight="1">
      <c r="A8" s="19" t="s">
        <v>35</v>
      </c>
      <c r="B8" s="19">
        <v>77.7</v>
      </c>
    </row>
    <row r="9" ht="15.75" customHeight="1">
      <c r="A9" s="19" t="s">
        <v>31</v>
      </c>
      <c r="B9" s="19">
        <v>77.5</v>
      </c>
    </row>
    <row r="10" ht="15.75" customHeight="1">
      <c r="A10" s="19" t="s">
        <v>81</v>
      </c>
      <c r="B10" s="19">
        <v>77.5</v>
      </c>
    </row>
    <row r="11" ht="15.75" customHeight="1">
      <c r="A11" s="19" t="s">
        <v>42</v>
      </c>
      <c r="B11" s="19">
        <v>77.3</v>
      </c>
    </row>
    <row r="12" ht="15.75" customHeight="1">
      <c r="A12" s="19" t="s">
        <v>90</v>
      </c>
      <c r="B12" s="19">
        <v>77.1</v>
      </c>
    </row>
    <row r="13" ht="15.75" customHeight="1">
      <c r="A13" s="19" t="s">
        <v>33</v>
      </c>
      <c r="B13" s="19">
        <v>75.9</v>
      </c>
    </row>
    <row r="14" ht="15.75" customHeight="1">
      <c r="A14" s="19" t="s">
        <v>21</v>
      </c>
      <c r="B14" s="19">
        <v>75.6</v>
      </c>
    </row>
    <row r="15" ht="15.75" customHeight="1">
      <c r="A15" s="19" t="s">
        <v>45</v>
      </c>
      <c r="B15" s="19">
        <v>75.5</v>
      </c>
    </row>
    <row r="16" ht="15.75" customHeight="1">
      <c r="A16" s="19" t="s">
        <v>47</v>
      </c>
      <c r="B16" s="19">
        <v>75.5</v>
      </c>
    </row>
    <row r="17" ht="15.75" customHeight="1">
      <c r="A17" s="19" t="s">
        <v>13</v>
      </c>
      <c r="B17" s="19">
        <v>75.2</v>
      </c>
    </row>
    <row r="18" ht="15.75" customHeight="1">
      <c r="A18" s="19" t="s">
        <v>52</v>
      </c>
      <c r="B18" s="19">
        <v>75.0</v>
      </c>
    </row>
    <row r="19" ht="15.75" customHeight="1">
      <c r="A19" s="19" t="s">
        <v>26</v>
      </c>
      <c r="B19" s="19">
        <v>73.4</v>
      </c>
    </row>
    <row r="20" ht="15.75" customHeight="1">
      <c r="A20" s="19" t="s">
        <v>18</v>
      </c>
      <c r="B20" s="19">
        <v>73.4</v>
      </c>
    </row>
    <row r="21" ht="15.75" customHeight="1">
      <c r="A21" s="19" t="s">
        <v>27</v>
      </c>
      <c r="B21" s="19">
        <v>73.2</v>
      </c>
    </row>
    <row r="22" ht="15.75" customHeight="1">
      <c r="A22" s="19" t="s">
        <v>22</v>
      </c>
      <c r="B22" s="19">
        <v>72.7</v>
      </c>
    </row>
    <row r="23" ht="15.75" customHeight="1">
      <c r="A23" s="19" t="s">
        <v>70</v>
      </c>
      <c r="B23" s="19">
        <v>72.5</v>
      </c>
    </row>
    <row r="24" ht="15.75" customHeight="1">
      <c r="A24" s="19" t="s">
        <v>56</v>
      </c>
      <c r="B24" s="19">
        <v>72.2</v>
      </c>
    </row>
    <row r="25" ht="15.75" customHeight="1">
      <c r="A25" s="19" t="s">
        <v>28</v>
      </c>
      <c r="B25" s="19">
        <v>71.9</v>
      </c>
    </row>
    <row r="26" ht="15.75" customHeight="1">
      <c r="A26" s="19" t="s">
        <v>15</v>
      </c>
      <c r="B26" s="19">
        <v>71.8</v>
      </c>
    </row>
    <row r="27" ht="15.75" customHeight="1">
      <c r="A27" s="19" t="s">
        <v>12</v>
      </c>
      <c r="B27" s="19">
        <v>71.5</v>
      </c>
    </row>
    <row r="28" ht="15.75" customHeight="1">
      <c r="A28" s="19" t="s">
        <v>112</v>
      </c>
      <c r="B28" s="19">
        <v>71.4</v>
      </c>
    </row>
    <row r="29" ht="15.75" customHeight="1">
      <c r="A29" s="19" t="s">
        <v>73</v>
      </c>
      <c r="B29" s="19">
        <v>71.2</v>
      </c>
    </row>
    <row r="30" ht="15.75" customHeight="1">
      <c r="A30" s="19" t="s">
        <v>23</v>
      </c>
      <c r="B30" s="19">
        <v>70.6</v>
      </c>
    </row>
    <row r="31" ht="15.75" customHeight="1">
      <c r="A31" s="19" t="s">
        <v>61</v>
      </c>
      <c r="B31" s="19">
        <v>70.3</v>
      </c>
    </row>
    <row r="32" ht="15.75" customHeight="1">
      <c r="A32" s="19" t="s">
        <v>30</v>
      </c>
      <c r="B32" s="19">
        <v>68.7</v>
      </c>
    </row>
    <row r="33" ht="15.75" customHeight="1">
      <c r="A33" s="19" t="s">
        <v>59</v>
      </c>
      <c r="B33" s="19">
        <v>68.7</v>
      </c>
    </row>
    <row r="34" ht="15.75" customHeight="1">
      <c r="A34" s="19" t="s">
        <v>63</v>
      </c>
      <c r="B34" s="19">
        <v>68.6</v>
      </c>
    </row>
    <row r="35" ht="15.75" customHeight="1">
      <c r="A35" s="19" t="s">
        <v>98</v>
      </c>
      <c r="B35" s="19">
        <v>68.6</v>
      </c>
    </row>
    <row r="36" ht="15.75" customHeight="1">
      <c r="A36" s="19" t="s">
        <v>24</v>
      </c>
      <c r="B36" s="19">
        <v>68.4</v>
      </c>
    </row>
    <row r="37" ht="15.75" customHeight="1">
      <c r="A37" s="19" t="s">
        <v>29</v>
      </c>
      <c r="B37" s="19">
        <v>68.3</v>
      </c>
    </row>
    <row r="38" ht="15.75" customHeight="1">
      <c r="A38" s="19" t="s">
        <v>85</v>
      </c>
      <c r="B38" s="19">
        <v>68.0</v>
      </c>
    </row>
    <row r="39" ht="15.75" customHeight="1">
      <c r="A39" s="19" t="s">
        <v>14</v>
      </c>
      <c r="B39" s="19">
        <v>67.8</v>
      </c>
    </row>
    <row r="40" ht="15.75" customHeight="1">
      <c r="A40" s="19" t="s">
        <v>16</v>
      </c>
      <c r="B40" s="19">
        <v>67.6</v>
      </c>
    </row>
    <row r="41" ht="15.75" customHeight="1">
      <c r="A41" s="19" t="s">
        <v>143</v>
      </c>
      <c r="B41" s="19">
        <v>67.3</v>
      </c>
    </row>
    <row r="42" ht="15.75" customHeight="1">
      <c r="A42" s="19" t="s">
        <v>101</v>
      </c>
      <c r="B42" s="19">
        <v>67.3</v>
      </c>
    </row>
    <row r="43" ht="15.75" customHeight="1">
      <c r="A43" s="19" t="s">
        <v>19</v>
      </c>
      <c r="B43" s="19">
        <v>66.1</v>
      </c>
    </row>
    <row r="44" ht="15.75" customHeight="1">
      <c r="A44" s="19" t="s">
        <v>46</v>
      </c>
      <c r="B44" s="19">
        <v>66.1</v>
      </c>
    </row>
    <row r="45" ht="15.75" customHeight="1">
      <c r="A45" s="19" t="s">
        <v>71</v>
      </c>
      <c r="B45" s="19">
        <v>65.5</v>
      </c>
    </row>
    <row r="46" ht="15.75" customHeight="1">
      <c r="A46" s="19" t="s">
        <v>76</v>
      </c>
      <c r="B46" s="19">
        <v>65.2</v>
      </c>
    </row>
    <row r="47" ht="15.75" customHeight="1">
      <c r="A47" s="19" t="s">
        <v>41</v>
      </c>
      <c r="B47" s="19">
        <v>65.1</v>
      </c>
    </row>
    <row r="48" ht="15.75" customHeight="1">
      <c r="A48" s="19" t="s">
        <v>44</v>
      </c>
      <c r="B48" s="19">
        <v>65.1</v>
      </c>
    </row>
    <row r="49" ht="15.75" customHeight="1">
      <c r="A49" s="19" t="s">
        <v>51</v>
      </c>
      <c r="B49" s="19">
        <v>64.7</v>
      </c>
    </row>
    <row r="50" ht="15.75" customHeight="1">
      <c r="A50" s="19" t="s">
        <v>64</v>
      </c>
      <c r="B50" s="19">
        <v>64.3</v>
      </c>
    </row>
    <row r="51" ht="15.75" customHeight="1">
      <c r="A51" s="19" t="s">
        <v>53</v>
      </c>
      <c r="B51" s="19">
        <v>63.8</v>
      </c>
    </row>
    <row r="52" ht="15.75" customHeight="1">
      <c r="A52" s="19" t="s">
        <v>83</v>
      </c>
      <c r="B52" s="19">
        <v>63.7</v>
      </c>
    </row>
    <row r="53" ht="15.75" customHeight="1">
      <c r="A53" s="19" t="s">
        <v>65</v>
      </c>
      <c r="B53" s="19">
        <v>63.5</v>
      </c>
    </row>
    <row r="54" ht="15.75" customHeight="1">
      <c r="A54" s="19" t="s">
        <v>55</v>
      </c>
      <c r="B54" s="19">
        <v>62.4</v>
      </c>
    </row>
    <row r="55" ht="15.75" customHeight="1">
      <c r="A55" s="19" t="s">
        <v>106</v>
      </c>
      <c r="B55" s="19">
        <v>62.0</v>
      </c>
    </row>
    <row r="56" ht="15.75" customHeight="1">
      <c r="A56" s="19" t="s">
        <v>39</v>
      </c>
      <c r="B56" s="19">
        <v>61.8</v>
      </c>
    </row>
    <row r="57" ht="15.75" customHeight="1">
      <c r="A57" s="19" t="s">
        <v>72</v>
      </c>
      <c r="B57" s="19">
        <v>61.5</v>
      </c>
    </row>
    <row r="58" ht="15.75" customHeight="1">
      <c r="A58" s="19" t="s">
        <v>96</v>
      </c>
      <c r="B58" s="19">
        <v>61.3</v>
      </c>
    </row>
    <row r="59" ht="15.75" customHeight="1">
      <c r="A59" s="19" t="s">
        <v>104</v>
      </c>
      <c r="B59" s="19">
        <v>60.9</v>
      </c>
    </row>
    <row r="60" ht="15.75" customHeight="1">
      <c r="A60" s="19" t="s">
        <v>66</v>
      </c>
      <c r="B60" s="19">
        <v>60.7</v>
      </c>
    </row>
    <row r="61" ht="15.75" customHeight="1">
      <c r="A61" s="19" t="s">
        <v>80</v>
      </c>
      <c r="B61" s="19">
        <v>60.7</v>
      </c>
    </row>
    <row r="62" ht="15.75" customHeight="1">
      <c r="A62" s="19" t="s">
        <v>114</v>
      </c>
      <c r="B62" s="19">
        <v>59.3</v>
      </c>
    </row>
    <row r="63" ht="15.75" customHeight="1">
      <c r="A63" s="19" t="s">
        <v>89</v>
      </c>
      <c r="B63" s="19">
        <v>59.1</v>
      </c>
    </row>
    <row r="64" ht="15.75" customHeight="1">
      <c r="A64" s="19" t="s">
        <v>84</v>
      </c>
      <c r="B64" s="19">
        <v>59.0</v>
      </c>
    </row>
    <row r="65" ht="15.75" customHeight="1">
      <c r="A65" s="19" t="s">
        <v>38</v>
      </c>
      <c r="B65" s="19">
        <v>58.5</v>
      </c>
    </row>
    <row r="66" ht="15.75" customHeight="1">
      <c r="A66" s="19" t="s">
        <v>62</v>
      </c>
      <c r="B66" s="19">
        <v>58.5</v>
      </c>
    </row>
    <row r="67" ht="15.75" customHeight="1">
      <c r="A67" s="19" t="s">
        <v>54</v>
      </c>
      <c r="B67" s="19">
        <v>58.4</v>
      </c>
    </row>
    <row r="68" ht="15.75" customHeight="1">
      <c r="A68" s="19" t="s">
        <v>36</v>
      </c>
      <c r="B68" s="19">
        <v>58.4</v>
      </c>
    </row>
    <row r="69" ht="15.75" customHeight="1">
      <c r="A69" s="19" t="s">
        <v>97</v>
      </c>
      <c r="B69" s="19">
        <v>58.3</v>
      </c>
    </row>
    <row r="70" ht="15.75" customHeight="1">
      <c r="A70" s="19" t="s">
        <v>57</v>
      </c>
      <c r="B70" s="19">
        <v>58.1</v>
      </c>
    </row>
    <row r="71" ht="15.75" customHeight="1">
      <c r="A71" s="19" t="s">
        <v>49</v>
      </c>
      <c r="B71" s="19">
        <v>58.0</v>
      </c>
    </row>
    <row r="72" ht="15.75" customHeight="1">
      <c r="A72" s="19" t="s">
        <v>111</v>
      </c>
      <c r="B72" s="19">
        <v>57.7</v>
      </c>
    </row>
    <row r="73" ht="15.75" customHeight="1">
      <c r="A73" s="19" t="s">
        <v>113</v>
      </c>
      <c r="B73" s="19">
        <v>57.4</v>
      </c>
    </row>
    <row r="74" ht="15.75" customHeight="1">
      <c r="A74" s="19" t="s">
        <v>105</v>
      </c>
      <c r="B74" s="19">
        <v>57.2</v>
      </c>
    </row>
    <row r="75" ht="15.75" customHeight="1">
      <c r="A75" s="19" t="s">
        <v>43</v>
      </c>
      <c r="B75" s="19">
        <v>57.1</v>
      </c>
    </row>
    <row r="76" ht="15.75" customHeight="1">
      <c r="A76" s="19" t="s">
        <v>60</v>
      </c>
      <c r="B76" s="19">
        <v>56.5</v>
      </c>
    </row>
    <row r="77" ht="15.75" customHeight="1">
      <c r="A77" s="19" t="s">
        <v>87</v>
      </c>
      <c r="B77" s="19">
        <v>56.3</v>
      </c>
    </row>
    <row r="78" ht="15.75" customHeight="1">
      <c r="A78" s="19" t="s">
        <v>92</v>
      </c>
      <c r="B78" s="19">
        <v>55.9</v>
      </c>
    </row>
    <row r="79" ht="15.75" customHeight="1">
      <c r="A79" s="19" t="s">
        <v>86</v>
      </c>
      <c r="B79" s="19">
        <v>55.6</v>
      </c>
    </row>
    <row r="80" ht="15.75" customHeight="1">
      <c r="A80" s="19" t="s">
        <v>74</v>
      </c>
      <c r="B80" s="19">
        <v>55.6</v>
      </c>
    </row>
    <row r="81" ht="15.75" customHeight="1">
      <c r="A81" s="19" t="s">
        <v>77</v>
      </c>
      <c r="B81" s="19">
        <v>55.1</v>
      </c>
    </row>
    <row r="82" ht="15.75" customHeight="1">
      <c r="A82" s="19" t="s">
        <v>107</v>
      </c>
      <c r="B82" s="19">
        <v>54.5</v>
      </c>
    </row>
    <row r="83" ht="15.75" customHeight="1">
      <c r="A83" s="19" t="s">
        <v>68</v>
      </c>
      <c r="B83" s="19">
        <v>54.3</v>
      </c>
    </row>
    <row r="84" ht="15.75" customHeight="1">
      <c r="A84" s="19" t="s">
        <v>58</v>
      </c>
      <c r="B84" s="19">
        <v>54.3</v>
      </c>
    </row>
    <row r="85" ht="15.75" customHeight="1">
      <c r="A85" s="19" t="s">
        <v>109</v>
      </c>
      <c r="B85" s="19">
        <v>52.8</v>
      </c>
    </row>
    <row r="86" ht="15.75" customHeight="1">
      <c r="A86" s="19" t="s">
        <v>50</v>
      </c>
      <c r="B86" s="19">
        <v>52.5</v>
      </c>
    </row>
    <row r="87" ht="15.75" customHeight="1">
      <c r="A87" s="19" t="s">
        <v>69</v>
      </c>
      <c r="B87" s="19">
        <v>52.1</v>
      </c>
    </row>
    <row r="88" ht="15.75" customHeight="1">
      <c r="A88" s="19" t="s">
        <v>25</v>
      </c>
      <c r="B88" s="19">
        <v>51.5</v>
      </c>
    </row>
    <row r="89" ht="15.75" customHeight="1">
      <c r="A89" s="19" t="s">
        <v>133</v>
      </c>
      <c r="B89" s="19">
        <v>50.7</v>
      </c>
    </row>
    <row r="90" ht="15.75" customHeight="1">
      <c r="A90" s="19" t="s">
        <v>117</v>
      </c>
      <c r="B90" s="19">
        <v>49.1</v>
      </c>
    </row>
    <row r="91" ht="15.75" customHeight="1">
      <c r="A91" s="19" t="s">
        <v>82</v>
      </c>
      <c r="B91" s="19">
        <v>48.5</v>
      </c>
    </row>
    <row r="92" ht="15.75" customHeight="1">
      <c r="A92" s="19" t="s">
        <v>95</v>
      </c>
      <c r="B92" s="19">
        <v>48.3</v>
      </c>
    </row>
    <row r="93" ht="15.75" customHeight="1">
      <c r="A93" s="19" t="s">
        <v>78</v>
      </c>
      <c r="B93" s="19">
        <v>48.2</v>
      </c>
    </row>
    <row r="94" ht="15.75" customHeight="1">
      <c r="A94" s="19" t="s">
        <v>116</v>
      </c>
      <c r="B94" s="19">
        <v>47.3</v>
      </c>
    </row>
    <row r="95" ht="15.75" customHeight="1">
      <c r="A95" s="19" t="s">
        <v>93</v>
      </c>
      <c r="B95" s="19">
        <v>46.8</v>
      </c>
    </row>
    <row r="96" ht="15.75" customHeight="1">
      <c r="A96" s="19" t="s">
        <v>91</v>
      </c>
      <c r="B96" s="19">
        <v>45.9</v>
      </c>
    </row>
    <row r="97" ht="15.75" customHeight="1">
      <c r="A97" s="19" t="s">
        <v>108</v>
      </c>
      <c r="B97" s="19">
        <v>42.2</v>
      </c>
    </row>
    <row r="98" ht="15.75" customHeight="1">
      <c r="A98" s="19" t="s">
        <v>110</v>
      </c>
      <c r="B98" s="19">
        <v>38.7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0" t="s">
        <v>0</v>
      </c>
      <c r="B1" s="20" t="s">
        <v>161</v>
      </c>
      <c r="C1" s="20" t="s">
        <v>162</v>
      </c>
      <c r="D1" s="20" t="s">
        <v>163</v>
      </c>
      <c r="E1" s="20" t="s">
        <v>164</v>
      </c>
      <c r="F1" s="20" t="s">
        <v>165</v>
      </c>
      <c r="G1" s="20" t="s">
        <v>166</v>
      </c>
      <c r="H1" s="20" t="s">
        <v>167</v>
      </c>
      <c r="I1" s="2" t="s">
        <v>168</v>
      </c>
    </row>
    <row r="2" ht="15.75" customHeight="1">
      <c r="A2" s="5" t="s">
        <v>157</v>
      </c>
      <c r="B2" s="5">
        <v>13.67924499511719</v>
      </c>
      <c r="C2" s="5">
        <v>1.415094375610352</v>
      </c>
      <c r="D2" s="5">
        <v>1.421800971031189</v>
      </c>
      <c r="E2" s="5">
        <v>5.188679218292236</v>
      </c>
      <c r="F2" s="5">
        <v>9.433961868286133</v>
      </c>
      <c r="G2" s="5">
        <v>1.960784316062927</v>
      </c>
      <c r="H2" s="5">
        <v>5.516594290733337</v>
      </c>
    </row>
    <row r="3" ht="15.75" customHeight="1">
      <c r="A3" s="5" t="s">
        <v>78</v>
      </c>
      <c r="B3" s="5">
        <v>43.39622497558594</v>
      </c>
      <c r="C3" s="5">
        <v>60.37735748291016</v>
      </c>
      <c r="D3" s="5">
        <v>51.65876770019531</v>
      </c>
      <c r="E3" s="5">
        <v>45.75471878051758</v>
      </c>
      <c r="F3" s="5">
        <v>58.49056625366211</v>
      </c>
      <c r="G3" s="5">
        <v>53.92156982421875</v>
      </c>
      <c r="H3" s="5">
        <v>52.26653416951498</v>
      </c>
    </row>
    <row r="4" ht="15.75" customHeight="1">
      <c r="A4" s="5" t="s">
        <v>107</v>
      </c>
      <c r="B4" s="5">
        <v>30.18867874145508</v>
      </c>
      <c r="C4" s="5">
        <v>27.35848999023438</v>
      </c>
      <c r="D4" s="5">
        <v>23.22274971008301</v>
      </c>
      <c r="E4" s="5">
        <v>26.41509437561035</v>
      </c>
      <c r="F4" s="5">
        <v>16.03773498535156</v>
      </c>
      <c r="G4" s="5">
        <v>22.05882263183594</v>
      </c>
      <c r="H4" s="5">
        <v>24.21359507242839</v>
      </c>
    </row>
    <row r="5" ht="15.75" customHeight="1">
      <c r="A5" s="5" t="s">
        <v>169</v>
      </c>
      <c r="B5" s="5">
        <v>87.73584747314453</v>
      </c>
      <c r="C5" s="5">
        <v>73.11320495605469</v>
      </c>
      <c r="D5" s="5">
        <v>91.94313049316406</v>
      </c>
      <c r="E5" s="5">
        <v>85.37735748291016</v>
      </c>
      <c r="F5" s="5">
        <v>68.39622497558594</v>
      </c>
      <c r="H5" s="5">
        <v>81.31315307617187</v>
      </c>
    </row>
    <row r="6" ht="15.75" customHeight="1">
      <c r="A6" s="5" t="s">
        <v>119</v>
      </c>
      <c r="B6" s="5">
        <v>87.73584747314453</v>
      </c>
      <c r="C6" s="5">
        <v>91.03773498535156</v>
      </c>
      <c r="D6" s="5">
        <v>98.57820129394531</v>
      </c>
      <c r="E6" s="5">
        <v>91.50943756103516</v>
      </c>
      <c r="F6" s="5">
        <v>89.62264251708984</v>
      </c>
      <c r="G6" s="5">
        <v>78.92156982421875</v>
      </c>
      <c r="H6" s="5">
        <v>89.56757227579753</v>
      </c>
    </row>
    <row r="7" ht="15.75" customHeight="1">
      <c r="A7" s="5" t="s">
        <v>153</v>
      </c>
      <c r="B7" s="5">
        <v>29.24528312683105</v>
      </c>
      <c r="C7" s="5">
        <v>14.62264156341553</v>
      </c>
      <c r="D7" s="5">
        <v>32.22748947143555</v>
      </c>
      <c r="E7" s="5">
        <v>14.62264156341553</v>
      </c>
      <c r="F7" s="5">
        <v>22.64151000976562</v>
      </c>
      <c r="G7" s="5">
        <v>27.94117736816406</v>
      </c>
      <c r="H7" s="5">
        <v>23.55012385050456</v>
      </c>
    </row>
    <row r="8" ht="15.75" customHeight="1">
      <c r="A8" s="5" t="s">
        <v>170</v>
      </c>
      <c r="B8" s="5">
        <v>87.73584747314453</v>
      </c>
      <c r="C8" s="5">
        <v>87.26415252685547</v>
      </c>
      <c r="D8" s="5">
        <v>91.94313049316406</v>
      </c>
      <c r="E8" s="5">
        <v>75.0</v>
      </c>
      <c r="F8" s="5">
        <v>79.24528503417969</v>
      </c>
      <c r="H8" s="5">
        <v>84.23768310546875</v>
      </c>
    </row>
    <row r="9" ht="15.75" customHeight="1">
      <c r="A9" s="5" t="s">
        <v>171</v>
      </c>
      <c r="B9" s="5">
        <v>62.26415252685547</v>
      </c>
      <c r="C9" s="5">
        <v>63.67924499511719</v>
      </c>
      <c r="D9" s="5">
        <v>80.56871795654297</v>
      </c>
      <c r="E9" s="5">
        <v>59.90565872192383</v>
      </c>
      <c r="F9" s="5">
        <v>70.28302001953125</v>
      </c>
      <c r="G9" s="5">
        <v>70.09803771972656</v>
      </c>
      <c r="H9" s="5">
        <v>67.79980532328288</v>
      </c>
    </row>
    <row r="10" ht="15.75" customHeight="1">
      <c r="A10" s="5" t="s">
        <v>85</v>
      </c>
      <c r="B10" s="5">
        <v>41.98113250732422</v>
      </c>
      <c r="C10" s="5">
        <v>36.32075500488281</v>
      </c>
      <c r="D10" s="5">
        <v>41.70616149902344</v>
      </c>
      <c r="E10" s="5">
        <v>37.73584747314453</v>
      </c>
      <c r="F10" s="5">
        <v>35.37735748291016</v>
      </c>
      <c r="G10" s="5">
        <v>63.23529434204102</v>
      </c>
      <c r="H10" s="5">
        <v>42.7260913848877</v>
      </c>
    </row>
    <row r="11" ht="15.75" customHeight="1">
      <c r="A11" s="5" t="s">
        <v>84</v>
      </c>
      <c r="B11" s="5">
        <v>57.07546997070312</v>
      </c>
      <c r="C11" s="5">
        <v>43.86792373657227</v>
      </c>
      <c r="D11" s="5">
        <v>17.06161117553711</v>
      </c>
      <c r="E11" s="5">
        <v>49.05660247802734</v>
      </c>
      <c r="F11" s="5">
        <v>52.8301887512207</v>
      </c>
      <c r="G11" s="5">
        <v>50.49019622802734</v>
      </c>
      <c r="H11" s="5">
        <v>45.06366539001465</v>
      </c>
    </row>
    <row r="12" ht="15.75" customHeight="1">
      <c r="A12" s="5" t="s">
        <v>172</v>
      </c>
      <c r="B12" s="5">
        <v>75.47169494628906</v>
      </c>
      <c r="C12" s="5">
        <v>78.30188751220703</v>
      </c>
      <c r="D12" s="5">
        <v>97.63033294677734</v>
      </c>
      <c r="E12" s="5">
        <v>87.26415252685547</v>
      </c>
      <c r="F12" s="5">
        <v>80.18868255615234</v>
      </c>
      <c r="G12" s="5">
        <v>80.39215850830078</v>
      </c>
      <c r="H12" s="5">
        <v>83.20815149943034</v>
      </c>
    </row>
    <row r="13" ht="15.75" customHeight="1">
      <c r="A13" s="5" t="s">
        <v>18</v>
      </c>
      <c r="B13" s="5">
        <v>95.75471496582031</v>
      </c>
      <c r="C13" s="5">
        <v>93.86792755126953</v>
      </c>
      <c r="D13" s="5">
        <v>79.620849609375</v>
      </c>
      <c r="E13" s="5">
        <v>91.98113250732422</v>
      </c>
      <c r="F13" s="5">
        <v>99.52830505371094</v>
      </c>
      <c r="G13" s="5">
        <v>96.07843017578125</v>
      </c>
      <c r="H13" s="5">
        <v>92.8052266438802</v>
      </c>
    </row>
    <row r="14" ht="15.75" customHeight="1">
      <c r="A14" s="5" t="s">
        <v>34</v>
      </c>
      <c r="B14" s="5">
        <v>83.49056243896484</v>
      </c>
      <c r="C14" s="5">
        <v>89.62264251708984</v>
      </c>
      <c r="D14" s="5">
        <v>71.56398010253906</v>
      </c>
      <c r="E14" s="5">
        <v>97.16981506347656</v>
      </c>
      <c r="F14" s="5">
        <v>90.0943374633789</v>
      </c>
      <c r="G14" s="5">
        <v>93.62744903564453</v>
      </c>
      <c r="H14" s="5">
        <v>87.5947977701823</v>
      </c>
    </row>
    <row r="15" ht="15.75" customHeight="1">
      <c r="A15" s="5" t="s">
        <v>95</v>
      </c>
      <c r="B15" s="5">
        <v>12.26415061950684</v>
      </c>
      <c r="C15" s="5">
        <v>50.47169876098633</v>
      </c>
      <c r="D15" s="5">
        <v>18.00947952270508</v>
      </c>
      <c r="E15" s="5">
        <v>29.24528312683105</v>
      </c>
      <c r="F15" s="5">
        <v>49.05660247802734</v>
      </c>
      <c r="G15" s="5">
        <v>9.313725471496582</v>
      </c>
      <c r="H15" s="5">
        <v>28.06015666325887</v>
      </c>
    </row>
    <row r="16" ht="15.75" customHeight="1">
      <c r="A16" s="5" t="s">
        <v>173</v>
      </c>
      <c r="B16" s="5">
        <v>88.20755004882812</v>
      </c>
      <c r="C16" s="5">
        <v>61.79245376586914</v>
      </c>
      <c r="D16" s="5">
        <v>84.83412170410156</v>
      </c>
      <c r="E16" s="5">
        <v>55.66037750244141</v>
      </c>
      <c r="F16" s="5">
        <v>51.88679122924805</v>
      </c>
      <c r="G16" s="5">
        <v>74.01960754394531</v>
      </c>
      <c r="H16" s="5">
        <v>69.40015029907227</v>
      </c>
    </row>
    <row r="17" ht="15.75" customHeight="1">
      <c r="A17" s="5" t="s">
        <v>32</v>
      </c>
      <c r="B17" s="5">
        <v>59.43396377563477</v>
      </c>
      <c r="C17" s="5">
        <v>74.52830505371094</v>
      </c>
      <c r="D17" s="5">
        <v>29.38388633728027</v>
      </c>
      <c r="E17" s="5">
        <v>65.5660400390625</v>
      </c>
      <c r="F17" s="5">
        <v>83.96226501464844</v>
      </c>
      <c r="G17" s="5">
        <v>11.27450942993164</v>
      </c>
      <c r="H17" s="5">
        <v>54.02482827504476</v>
      </c>
    </row>
    <row r="18" ht="15.75" customHeight="1">
      <c r="A18" s="5" t="s">
        <v>108</v>
      </c>
      <c r="B18" s="5">
        <v>14.62264156341553</v>
      </c>
      <c r="C18" s="5">
        <v>26.88679313659668</v>
      </c>
      <c r="D18" s="5">
        <v>15.63981056213379</v>
      </c>
      <c r="E18" s="5">
        <v>33.49056625366211</v>
      </c>
      <c r="F18" s="5">
        <v>18.86792373657227</v>
      </c>
      <c r="G18" s="5">
        <v>27.45098114013672</v>
      </c>
      <c r="H18" s="5">
        <v>22.82645273208618</v>
      </c>
    </row>
    <row r="19" ht="15.75" customHeight="1">
      <c r="A19" s="5" t="s">
        <v>127</v>
      </c>
      <c r="B19" s="5">
        <v>89.62264251708984</v>
      </c>
      <c r="C19" s="5">
        <v>64.15093994140625</v>
      </c>
      <c r="D19" s="5">
        <v>93.83885955810547</v>
      </c>
      <c r="E19" s="5">
        <v>62.26415252685547</v>
      </c>
      <c r="F19" s="5">
        <v>67.45282745361328</v>
      </c>
      <c r="G19" s="5">
        <v>87.2549057006836</v>
      </c>
      <c r="H19" s="5">
        <v>77.43072128295898</v>
      </c>
    </row>
    <row r="20" ht="15.75" customHeight="1">
      <c r="A20" s="5" t="s">
        <v>82</v>
      </c>
      <c r="B20" s="5">
        <v>26.88679313659668</v>
      </c>
      <c r="C20" s="5">
        <v>15.09433937072754</v>
      </c>
      <c r="D20" s="5">
        <v>18.48341178894043</v>
      </c>
      <c r="E20" s="5">
        <v>11.32075500488281</v>
      </c>
      <c r="F20" s="5">
        <v>7.54716968536377</v>
      </c>
      <c r="G20" s="5">
        <v>3.921568632125854</v>
      </c>
      <c r="H20" s="5">
        <v>13.87567293643951</v>
      </c>
    </row>
    <row r="21" ht="15.75" customHeight="1">
      <c r="A21" s="5" t="s">
        <v>33</v>
      </c>
      <c r="B21" s="5">
        <v>89.15093994140625</v>
      </c>
      <c r="C21" s="5">
        <v>80.6603775024414</v>
      </c>
      <c r="D21" s="5">
        <v>58.29383850097656</v>
      </c>
      <c r="E21" s="5">
        <v>88.20755004882812</v>
      </c>
      <c r="F21" s="5">
        <v>85.84906005859375</v>
      </c>
      <c r="G21" s="5">
        <v>92.64705657958984</v>
      </c>
      <c r="H21" s="5">
        <v>82.46813710530598</v>
      </c>
    </row>
    <row r="22" ht="15.75" customHeight="1">
      <c r="A22" s="5" t="s">
        <v>135</v>
      </c>
      <c r="B22" s="5">
        <v>48.11320877075195</v>
      </c>
      <c r="C22" s="5">
        <v>36.79245376586914</v>
      </c>
      <c r="D22" s="5">
        <v>65.40284729003906</v>
      </c>
      <c r="E22" s="5">
        <v>27.8301887512207</v>
      </c>
      <c r="F22" s="5">
        <v>35.84905624389648</v>
      </c>
      <c r="G22" s="5">
        <v>63.72549057006836</v>
      </c>
      <c r="H22" s="5">
        <v>46.28554089864095</v>
      </c>
    </row>
    <row r="23" ht="15.75" customHeight="1">
      <c r="A23" s="5" t="s">
        <v>174</v>
      </c>
      <c r="B23" s="5">
        <v>52.8301887512207</v>
      </c>
      <c r="C23" s="5">
        <v>42.45283126831055</v>
      </c>
      <c r="D23" s="5">
        <v>31.75355529785156</v>
      </c>
      <c r="E23" s="5">
        <v>33.01886749267578</v>
      </c>
      <c r="F23" s="5">
        <v>40.56603622436523</v>
      </c>
      <c r="G23" s="5">
        <v>40.19607925415039</v>
      </c>
      <c r="H23" s="5">
        <v>40.13625971476237</v>
      </c>
    </row>
    <row r="24" ht="15.75" customHeight="1">
      <c r="A24" s="5" t="s">
        <v>175</v>
      </c>
      <c r="B24" s="5">
        <v>87.73584747314453</v>
      </c>
      <c r="C24" s="5">
        <v>87.26415252685547</v>
      </c>
      <c r="D24" s="5">
        <v>86.7298583984375</v>
      </c>
      <c r="E24" s="5">
        <v>75.0</v>
      </c>
      <c r="F24" s="5">
        <v>79.24528503417969</v>
      </c>
      <c r="H24" s="5">
        <v>83.19502868652344</v>
      </c>
    </row>
    <row r="25" ht="15.75" customHeight="1">
      <c r="A25" s="5" t="s">
        <v>176</v>
      </c>
      <c r="B25" s="5">
        <v>91.03773498535156</v>
      </c>
      <c r="C25" s="5">
        <v>69.3396224975586</v>
      </c>
      <c r="D25" s="5">
        <v>83.41232299804688</v>
      </c>
      <c r="E25" s="5">
        <v>72.64151000976562</v>
      </c>
      <c r="F25" s="5">
        <v>36.79245376586914</v>
      </c>
      <c r="G25" s="5">
        <v>54.90196228027344</v>
      </c>
      <c r="H25" s="5">
        <v>68.02093442281087</v>
      </c>
    </row>
    <row r="26" ht="15.75" customHeight="1">
      <c r="A26" s="5" t="s">
        <v>150</v>
      </c>
      <c r="B26" s="5">
        <v>21.69811248779297</v>
      </c>
      <c r="C26" s="5">
        <v>29.24528312683105</v>
      </c>
      <c r="D26" s="5">
        <v>35.07109069824219</v>
      </c>
      <c r="E26" s="5">
        <v>11.79245281219482</v>
      </c>
      <c r="F26" s="5">
        <v>11.79245281219482</v>
      </c>
      <c r="G26" s="5">
        <v>39.2156867980957</v>
      </c>
      <c r="H26" s="5">
        <v>24.80251312255859</v>
      </c>
    </row>
    <row r="27" ht="15.75" customHeight="1">
      <c r="A27" s="5" t="s">
        <v>177</v>
      </c>
      <c r="B27" s="5">
        <v>30.66037750244141</v>
      </c>
      <c r="C27" s="5">
        <v>15.56603813171387</v>
      </c>
      <c r="D27" s="5">
        <v>31.27962112426758</v>
      </c>
      <c r="E27" s="5">
        <v>39.62264251708984</v>
      </c>
      <c r="F27" s="5">
        <v>46.69811248779297</v>
      </c>
      <c r="G27" s="5">
        <v>38.23529434204102</v>
      </c>
      <c r="H27" s="5">
        <v>33.67701435089111</v>
      </c>
    </row>
    <row r="28" ht="15.75" customHeight="1">
      <c r="A28" s="5" t="s">
        <v>136</v>
      </c>
      <c r="B28" s="5">
        <v>73.58490753173828</v>
      </c>
      <c r="C28" s="5">
        <v>66.98113250732422</v>
      </c>
      <c r="D28" s="5">
        <v>87.20378875732422</v>
      </c>
      <c r="E28" s="5">
        <v>61.32075500488281</v>
      </c>
      <c r="F28" s="5">
        <v>66.98113250732422</v>
      </c>
      <c r="G28" s="5">
        <v>62.74509811401367</v>
      </c>
      <c r="H28" s="5">
        <v>69.8028024037679</v>
      </c>
    </row>
    <row r="29" ht="15.75" customHeight="1">
      <c r="A29" s="5" t="s">
        <v>89</v>
      </c>
      <c r="B29" s="5">
        <v>34.43396377563477</v>
      </c>
      <c r="C29" s="5">
        <v>32.07546997070312</v>
      </c>
      <c r="D29" s="5">
        <v>28.43601989746094</v>
      </c>
      <c r="E29" s="5">
        <v>41.98113250732422</v>
      </c>
      <c r="F29" s="5">
        <v>40.09434127807617</v>
      </c>
      <c r="G29" s="5">
        <v>59.80392074584961</v>
      </c>
      <c r="H29" s="5">
        <v>39.4708080291748</v>
      </c>
    </row>
    <row r="30" ht="15.75" customHeight="1">
      <c r="A30" s="5" t="s">
        <v>178</v>
      </c>
      <c r="B30" s="5">
        <v>88.67924499511719</v>
      </c>
      <c r="C30" s="5">
        <v>90.0943374633789</v>
      </c>
      <c r="D30" s="5">
        <v>96.68246459960938</v>
      </c>
      <c r="E30" s="5">
        <v>79.24528503417969</v>
      </c>
      <c r="F30" s="5">
        <v>80.6603775024414</v>
      </c>
      <c r="G30" s="5">
        <v>28.92156791687012</v>
      </c>
      <c r="H30" s="5">
        <v>77.38054625193278</v>
      </c>
    </row>
    <row r="31" ht="15.75" customHeight="1">
      <c r="A31" s="5" t="s">
        <v>57</v>
      </c>
      <c r="B31" s="5">
        <v>50.0</v>
      </c>
      <c r="C31" s="5">
        <v>53.30188751220703</v>
      </c>
      <c r="D31" s="5">
        <v>55.45023727416992</v>
      </c>
      <c r="E31" s="5">
        <v>53.77358627319336</v>
      </c>
      <c r="F31" s="5">
        <v>65.5660400390625</v>
      </c>
      <c r="G31" s="5">
        <v>60.29411697387695</v>
      </c>
      <c r="H31" s="5">
        <v>56.39764467875163</v>
      </c>
    </row>
    <row r="32" ht="15.75" customHeight="1">
      <c r="A32" s="5" t="s">
        <v>179</v>
      </c>
      <c r="B32" s="5">
        <v>49.52830123901367</v>
      </c>
      <c r="C32" s="5">
        <v>21.22641563415527</v>
      </c>
      <c r="D32" s="5">
        <v>5.687203884124756</v>
      </c>
      <c r="E32" s="5">
        <v>24.52830123901367</v>
      </c>
      <c r="F32" s="5">
        <v>34.90565872192383</v>
      </c>
      <c r="G32" s="5">
        <v>25.49019622802734</v>
      </c>
      <c r="H32" s="5">
        <v>26.89434615770976</v>
      </c>
    </row>
    <row r="33" ht="15.75" customHeight="1">
      <c r="A33" s="5" t="s">
        <v>180</v>
      </c>
      <c r="B33" s="5">
        <v>3.301886796951294</v>
      </c>
      <c r="C33" s="5">
        <v>11.32075500488281</v>
      </c>
      <c r="D33" s="5">
        <v>12.79620838165283</v>
      </c>
      <c r="E33" s="5">
        <v>10.84905624389648</v>
      </c>
      <c r="F33" s="5">
        <v>15.56603813171387</v>
      </c>
      <c r="G33" s="5">
        <v>11.76470565795898</v>
      </c>
      <c r="H33" s="5">
        <v>10.93310836950938</v>
      </c>
    </row>
    <row r="34" ht="15.75" customHeight="1">
      <c r="A34" s="5" t="s">
        <v>133</v>
      </c>
      <c r="B34" s="5">
        <v>9.433961868286133</v>
      </c>
      <c r="C34" s="5">
        <v>38.20754623413086</v>
      </c>
      <c r="D34" s="5">
        <v>47.8672981262207</v>
      </c>
      <c r="E34" s="5">
        <v>23.58490562438965</v>
      </c>
      <c r="F34" s="5">
        <v>25.47169876098633</v>
      </c>
      <c r="G34" s="5">
        <v>12.74509811401367</v>
      </c>
      <c r="H34" s="5">
        <v>26.21841812133789</v>
      </c>
    </row>
    <row r="35" ht="15.75" customHeight="1">
      <c r="A35" s="5" t="s">
        <v>151</v>
      </c>
      <c r="B35" s="5">
        <v>13.20754718780518</v>
      </c>
      <c r="C35" s="5">
        <v>17.45282936096191</v>
      </c>
      <c r="D35" s="5">
        <v>11.37440776824951</v>
      </c>
      <c r="E35" s="5">
        <v>16.50943374633789</v>
      </c>
      <c r="F35" s="5">
        <v>19.33962249755859</v>
      </c>
      <c r="G35" s="5">
        <v>19.60784339904785</v>
      </c>
      <c r="H35" s="5">
        <v>16.24861399332682</v>
      </c>
    </row>
    <row r="36" ht="15.75" customHeight="1">
      <c r="A36" s="5" t="s">
        <v>30</v>
      </c>
      <c r="B36" s="5">
        <v>94.81131744384766</v>
      </c>
      <c r="C36" s="5">
        <v>91.98113250732422</v>
      </c>
      <c r="D36" s="5">
        <v>76.30331420898438</v>
      </c>
      <c r="E36" s="5">
        <v>90.0943374633789</v>
      </c>
      <c r="F36" s="5">
        <v>94.81131744384766</v>
      </c>
      <c r="G36" s="5">
        <v>95.09803771972656</v>
      </c>
      <c r="H36" s="5">
        <v>90.51657613118489</v>
      </c>
    </row>
    <row r="37" ht="15.75" customHeight="1">
      <c r="A37" s="5" t="s">
        <v>181</v>
      </c>
      <c r="B37" s="5">
        <v>81.13207244873047</v>
      </c>
      <c r="C37" s="5">
        <v>52.35848999023438</v>
      </c>
      <c r="D37" s="5">
        <v>79.14691925048828</v>
      </c>
      <c r="E37" s="5">
        <v>61.79245376586914</v>
      </c>
      <c r="F37" s="5">
        <v>59.90565872192383</v>
      </c>
      <c r="G37" s="5">
        <v>77.45098114013672</v>
      </c>
      <c r="H37" s="5">
        <v>68.63109588623047</v>
      </c>
    </row>
    <row r="38" ht="15.75" customHeight="1">
      <c r="A38" s="5" t="s">
        <v>124</v>
      </c>
      <c r="B38" s="5">
        <v>65.0943374633789</v>
      </c>
      <c r="C38" s="5">
        <v>88.20755004882812</v>
      </c>
      <c r="D38" s="5">
        <v>99.52606964111328</v>
      </c>
      <c r="E38" s="5">
        <v>76.41509246826172</v>
      </c>
      <c r="F38" s="5">
        <v>83.49056243896484</v>
      </c>
      <c r="G38" s="5">
        <v>71.5686264038086</v>
      </c>
      <c r="H38" s="5">
        <v>80.71703974405925</v>
      </c>
    </row>
    <row r="39" ht="15.75" customHeight="1">
      <c r="A39" s="5" t="s">
        <v>182</v>
      </c>
      <c r="B39" s="5">
        <v>8.962264060974121</v>
      </c>
      <c r="C39" s="5">
        <v>4.245283126831055</v>
      </c>
      <c r="D39" s="5">
        <v>3.317535638809204</v>
      </c>
      <c r="E39" s="5">
        <v>3.301886796951294</v>
      </c>
      <c r="F39" s="5">
        <v>6.132075309753418</v>
      </c>
      <c r="G39" s="5">
        <v>14.21568584442139</v>
      </c>
      <c r="H39" s="5">
        <v>6.695788462956746</v>
      </c>
    </row>
    <row r="40" ht="15.75" customHeight="1">
      <c r="A40" s="5" t="s">
        <v>183</v>
      </c>
      <c r="B40" s="5">
        <v>4.716980934143066</v>
      </c>
      <c r="C40" s="5">
        <v>7.54716968536377</v>
      </c>
      <c r="D40" s="5">
        <v>9.004739761352539</v>
      </c>
      <c r="E40" s="5">
        <v>8.018867492675781</v>
      </c>
      <c r="F40" s="5">
        <v>12.26415061950684</v>
      </c>
      <c r="G40" s="5">
        <v>8.333333015441895</v>
      </c>
      <c r="H40" s="5">
        <v>8.314206918080648</v>
      </c>
    </row>
    <row r="41" ht="15.75" customHeight="1">
      <c r="A41" s="5" t="s">
        <v>65</v>
      </c>
      <c r="B41" s="5">
        <v>80.6603775024414</v>
      </c>
      <c r="C41" s="5">
        <v>75.94339752197266</v>
      </c>
      <c r="D41" s="5">
        <v>50.23696517944336</v>
      </c>
      <c r="E41" s="5">
        <v>71.2264175415039</v>
      </c>
      <c r="F41" s="5">
        <v>76.88679504394531</v>
      </c>
      <c r="G41" s="5">
        <v>79.90196228027344</v>
      </c>
      <c r="H41" s="5">
        <v>72.47598584493001</v>
      </c>
    </row>
    <row r="42" ht="15.75" customHeight="1">
      <c r="A42" s="5" t="s">
        <v>59</v>
      </c>
      <c r="B42" s="5">
        <v>54.24528121948242</v>
      </c>
      <c r="C42" s="5">
        <v>73.58490753173828</v>
      </c>
      <c r="D42" s="5">
        <v>25.11848258972168</v>
      </c>
      <c r="E42" s="5">
        <v>52.8301887512207</v>
      </c>
      <c r="F42" s="5">
        <v>38.67924499511719</v>
      </c>
      <c r="G42" s="5">
        <v>7.352941036224365</v>
      </c>
      <c r="H42" s="5">
        <v>41.96850768725077</v>
      </c>
    </row>
    <row r="43" ht="15.75" customHeight="1">
      <c r="A43" s="5" t="s">
        <v>98</v>
      </c>
      <c r="B43" s="5">
        <v>44.81132125854492</v>
      </c>
      <c r="C43" s="5">
        <v>48.11320877075195</v>
      </c>
      <c r="D43" s="5">
        <v>18.95734596252441</v>
      </c>
      <c r="E43" s="5">
        <v>35.84905624389648</v>
      </c>
      <c r="F43" s="5">
        <v>54.24528121948242</v>
      </c>
      <c r="G43" s="5">
        <v>55.39215850830078</v>
      </c>
      <c r="H43" s="5">
        <v>42.8947286605835</v>
      </c>
    </row>
    <row r="44" ht="15.75" customHeight="1">
      <c r="A44" s="5" t="s">
        <v>184</v>
      </c>
      <c r="B44" s="5">
        <v>19.33962249755859</v>
      </c>
      <c r="C44" s="5">
        <v>6.603773593902588</v>
      </c>
      <c r="D44" s="5">
        <v>38.8625602722168</v>
      </c>
      <c r="E44" s="5">
        <v>8.49056625366211</v>
      </c>
      <c r="F44" s="5">
        <v>10.84905624389648</v>
      </c>
      <c r="G44" s="5">
        <v>25.98039245605469</v>
      </c>
      <c r="H44" s="5">
        <v>18.35432855288188</v>
      </c>
    </row>
    <row r="45" ht="15.75" customHeight="1">
      <c r="A45" s="5" t="s">
        <v>185</v>
      </c>
      <c r="B45" s="5">
        <v>5.188679218292236</v>
      </c>
      <c r="C45" s="5">
        <v>4.716980934143066</v>
      </c>
      <c r="D45" s="5">
        <v>5.21327018737793</v>
      </c>
      <c r="E45" s="5">
        <v>4.716980934143066</v>
      </c>
      <c r="F45" s="5">
        <v>8.018867492675781</v>
      </c>
      <c r="G45" s="5">
        <v>15.68627452850342</v>
      </c>
      <c r="H45" s="5">
        <v>7.256842215855916</v>
      </c>
    </row>
    <row r="46" ht="15.75" customHeight="1">
      <c r="A46" s="5" t="s">
        <v>186</v>
      </c>
      <c r="B46" s="5">
        <v>8.018867492675781</v>
      </c>
      <c r="C46" s="5">
        <v>9.433961868286133</v>
      </c>
      <c r="D46" s="5">
        <v>46.91942977905273</v>
      </c>
      <c r="E46" s="5">
        <v>17.92452812194824</v>
      </c>
      <c r="F46" s="5">
        <v>10.37735843658447</v>
      </c>
      <c r="G46" s="5">
        <v>17.15686225891113</v>
      </c>
      <c r="H46" s="5">
        <v>18.30516799290975</v>
      </c>
    </row>
    <row r="47" ht="15.75" customHeight="1">
      <c r="A47" s="5" t="s">
        <v>187</v>
      </c>
      <c r="B47" s="5">
        <v>55.66037750244141</v>
      </c>
      <c r="C47" s="5">
        <v>44.81132125854492</v>
      </c>
      <c r="D47" s="5">
        <v>94.78672790527344</v>
      </c>
      <c r="E47" s="5">
        <v>31.13207626342773</v>
      </c>
      <c r="F47" s="5">
        <v>49.52830123901367</v>
      </c>
      <c r="G47" s="5">
        <v>75.98039245605469</v>
      </c>
      <c r="H47" s="5">
        <v>58.64986610412598</v>
      </c>
    </row>
    <row r="48" ht="15.75" customHeight="1">
      <c r="A48" s="5" t="s">
        <v>64</v>
      </c>
      <c r="B48" s="5">
        <v>72.64151000976562</v>
      </c>
      <c r="C48" s="5">
        <v>60.84905624389648</v>
      </c>
      <c r="D48" s="5">
        <v>83.8862533569336</v>
      </c>
      <c r="E48" s="5">
        <v>60.37735748291016</v>
      </c>
      <c r="F48" s="5">
        <v>69.81131744384766</v>
      </c>
      <c r="G48" s="5">
        <v>81.37255096435547</v>
      </c>
      <c r="H48" s="5">
        <v>71.48967425028484</v>
      </c>
    </row>
    <row r="49" ht="15.75" customHeight="1">
      <c r="A49" s="5" t="s">
        <v>51</v>
      </c>
      <c r="B49" s="5">
        <v>59.90565872192383</v>
      </c>
      <c r="C49" s="5">
        <v>75.47169494628906</v>
      </c>
      <c r="D49" s="5">
        <v>67.77251434326172</v>
      </c>
      <c r="E49" s="5">
        <v>59.43396377563477</v>
      </c>
      <c r="F49" s="5">
        <v>72.16981506347656</v>
      </c>
      <c r="G49" s="5">
        <v>65.68627166748047</v>
      </c>
      <c r="H49" s="5">
        <v>66.73998641967773</v>
      </c>
    </row>
    <row r="50" ht="15.75" customHeight="1">
      <c r="A50" s="5" t="s">
        <v>125</v>
      </c>
      <c r="B50" s="5">
        <v>52.35848999023438</v>
      </c>
      <c r="C50" s="5">
        <v>33.49056625366211</v>
      </c>
      <c r="D50" s="5">
        <v>56.87203979492188</v>
      </c>
      <c r="E50" s="5">
        <v>36.32075500488281</v>
      </c>
      <c r="F50" s="5">
        <v>5.188679218292236</v>
      </c>
      <c r="G50" s="5">
        <v>14.70588207244873</v>
      </c>
      <c r="H50" s="5">
        <v>33.15606872240702</v>
      </c>
    </row>
    <row r="51" ht="15.75" customHeight="1">
      <c r="A51" s="5" t="s">
        <v>43</v>
      </c>
      <c r="B51" s="5">
        <v>62.73584747314453</v>
      </c>
      <c r="C51" s="5">
        <v>76.41509246826172</v>
      </c>
      <c r="D51" s="5">
        <v>59.24170684814453</v>
      </c>
      <c r="E51" s="5">
        <v>71.69811248779297</v>
      </c>
      <c r="F51" s="5">
        <v>75.94339752197266</v>
      </c>
      <c r="G51" s="5">
        <v>77.94117736816406</v>
      </c>
      <c r="H51" s="5">
        <v>70.66255569458008</v>
      </c>
    </row>
    <row r="52" ht="15.75" customHeight="1">
      <c r="A52" s="5" t="s">
        <v>45</v>
      </c>
      <c r="B52" s="5">
        <v>76.88679504394531</v>
      </c>
      <c r="C52" s="5">
        <v>82.54717254638672</v>
      </c>
      <c r="D52" s="5">
        <v>82.4644546508789</v>
      </c>
      <c r="E52" s="5">
        <v>84.4339599609375</v>
      </c>
      <c r="F52" s="5">
        <v>87.73584747314453</v>
      </c>
      <c r="G52" s="5">
        <v>82.35294342041016</v>
      </c>
      <c r="H52" s="5">
        <v>82.73686218261719</v>
      </c>
    </row>
    <row r="53" ht="15.75" customHeight="1">
      <c r="A53" s="5" t="s">
        <v>188</v>
      </c>
      <c r="B53" s="5">
        <v>44.33962249755859</v>
      </c>
      <c r="C53" s="5">
        <v>37.26415252685547</v>
      </c>
      <c r="D53" s="5">
        <v>21.80094718933105</v>
      </c>
      <c r="E53" s="5">
        <v>35.37735748291016</v>
      </c>
      <c r="F53" s="5">
        <v>48.58490753173828</v>
      </c>
      <c r="G53" s="5">
        <v>36.76470565795898</v>
      </c>
      <c r="H53" s="5">
        <v>37.35528214772543</v>
      </c>
    </row>
    <row r="54" ht="15.75" customHeight="1">
      <c r="A54" s="5" t="s">
        <v>17</v>
      </c>
      <c r="B54" s="5">
        <v>100.0</v>
      </c>
      <c r="C54" s="5">
        <v>98.58490753173828</v>
      </c>
      <c r="D54" s="5">
        <v>76.77725219726562</v>
      </c>
      <c r="E54" s="5">
        <v>99.52830505371094</v>
      </c>
      <c r="F54" s="5">
        <v>98.11320495605469</v>
      </c>
      <c r="G54" s="5">
        <v>98.52941131591797</v>
      </c>
      <c r="H54" s="5">
        <v>95.25551350911458</v>
      </c>
    </row>
    <row r="55" ht="15.75" customHeight="1">
      <c r="A55" s="5" t="s">
        <v>189</v>
      </c>
      <c r="B55" s="5">
        <v>23.58490562438965</v>
      </c>
      <c r="C55" s="5">
        <v>25.47169876098633</v>
      </c>
      <c r="D55" s="5">
        <v>24.64455032348633</v>
      </c>
      <c r="E55" s="5">
        <v>13.67924499511719</v>
      </c>
      <c r="F55" s="5">
        <v>17.45282936096191</v>
      </c>
      <c r="G55" s="5">
        <v>13.72549057006836</v>
      </c>
      <c r="H55" s="5">
        <v>19.75978660583496</v>
      </c>
    </row>
    <row r="56" ht="15.75" customHeight="1">
      <c r="A56" s="5" t="s">
        <v>190</v>
      </c>
      <c r="B56" s="5">
        <v>67.45282745361328</v>
      </c>
      <c r="C56" s="5">
        <v>61.32075500488281</v>
      </c>
      <c r="D56" s="5">
        <v>95.7345962524414</v>
      </c>
      <c r="E56" s="5">
        <v>70.75471496582031</v>
      </c>
      <c r="F56" s="5">
        <v>61.32075500488281</v>
      </c>
      <c r="G56" s="5">
        <v>72.54901885986328</v>
      </c>
      <c r="H56" s="5">
        <v>71.52211125691731</v>
      </c>
    </row>
    <row r="57" ht="15.75" customHeight="1">
      <c r="A57" s="5" t="s">
        <v>97</v>
      </c>
      <c r="B57" s="5">
        <v>37.73584747314453</v>
      </c>
      <c r="C57" s="5">
        <v>56.60377502441406</v>
      </c>
      <c r="D57" s="5">
        <v>53.55450057983398</v>
      </c>
      <c r="E57" s="5">
        <v>48.11320877075195</v>
      </c>
      <c r="F57" s="5">
        <v>58.01886749267578</v>
      </c>
      <c r="G57" s="5">
        <v>57.35293960571289</v>
      </c>
      <c r="H57" s="5">
        <v>51.89652315775553</v>
      </c>
    </row>
    <row r="58" ht="15.75" customHeight="1">
      <c r="A58" s="5" t="s">
        <v>90</v>
      </c>
      <c r="B58" s="5">
        <v>27.8301887512207</v>
      </c>
      <c r="C58" s="5">
        <v>32.54716873168945</v>
      </c>
      <c r="D58" s="5">
        <v>32.70142364501953</v>
      </c>
      <c r="E58" s="5">
        <v>19.33962249755859</v>
      </c>
      <c r="F58" s="5">
        <v>23.58490562438965</v>
      </c>
      <c r="G58" s="5">
        <v>44.11764526367188</v>
      </c>
      <c r="H58" s="5">
        <v>30.02015908559163</v>
      </c>
    </row>
    <row r="59" ht="15.75" customHeight="1">
      <c r="A59" s="5" t="s">
        <v>116</v>
      </c>
      <c r="B59" s="5">
        <v>24.52830123901367</v>
      </c>
      <c r="C59" s="5">
        <v>41.98113250732422</v>
      </c>
      <c r="D59" s="5">
        <v>16.58767700195312</v>
      </c>
      <c r="E59" s="5">
        <v>44.33962249755859</v>
      </c>
      <c r="F59" s="5">
        <v>26.88679313659668</v>
      </c>
      <c r="G59" s="5">
        <v>10.78431415557861</v>
      </c>
      <c r="H59" s="5">
        <v>27.51797342300415</v>
      </c>
    </row>
    <row r="60" ht="15.75" customHeight="1">
      <c r="A60" s="5" t="s">
        <v>144</v>
      </c>
      <c r="B60" s="5">
        <v>32.07546997070312</v>
      </c>
      <c r="C60" s="5">
        <v>53.77358627319336</v>
      </c>
      <c r="D60" s="5">
        <v>46.44549942016602</v>
      </c>
      <c r="E60" s="5">
        <v>39.15094375610352</v>
      </c>
      <c r="F60" s="5">
        <v>39.62264251708984</v>
      </c>
      <c r="G60" s="5">
        <v>34.80392074584961</v>
      </c>
      <c r="H60" s="5">
        <v>40.97867711385091</v>
      </c>
    </row>
    <row r="61" ht="15.75" customHeight="1">
      <c r="A61" s="5" t="s">
        <v>191</v>
      </c>
      <c r="B61" s="5">
        <v>2.830188751220703</v>
      </c>
      <c r="C61" s="5">
        <v>9.905660629272461</v>
      </c>
      <c r="D61" s="5">
        <v>38.38862609863281</v>
      </c>
      <c r="E61" s="5">
        <v>8.962264060974121</v>
      </c>
      <c r="F61" s="5">
        <v>5.660377502441406</v>
      </c>
      <c r="G61" s="5">
        <v>3.43137264251709</v>
      </c>
      <c r="H61" s="5">
        <v>11.5297482808431</v>
      </c>
    </row>
    <row r="62" ht="15.75" customHeight="1">
      <c r="A62" s="5" t="s">
        <v>192</v>
      </c>
      <c r="B62" s="5">
        <v>5.660377502441406</v>
      </c>
      <c r="C62" s="5">
        <v>2.830188751220703</v>
      </c>
      <c r="D62" s="5">
        <v>17.53554534912109</v>
      </c>
      <c r="E62" s="5">
        <v>2.830188751220703</v>
      </c>
      <c r="F62" s="5">
        <v>0.4716981053352356</v>
      </c>
      <c r="G62" s="5">
        <v>0.9803921580314636</v>
      </c>
      <c r="H62" s="5">
        <v>5.051398436228435</v>
      </c>
    </row>
    <row r="63" ht="15.75" customHeight="1">
      <c r="A63" s="5" t="s">
        <v>47</v>
      </c>
      <c r="B63" s="5">
        <v>91.50943756103516</v>
      </c>
      <c r="C63" s="5">
        <v>88.67924499511719</v>
      </c>
      <c r="D63" s="5">
        <v>69.1943130493164</v>
      </c>
      <c r="E63" s="5">
        <v>89.62264251708984</v>
      </c>
      <c r="F63" s="5">
        <v>91.03773498535156</v>
      </c>
      <c r="G63" s="5">
        <v>88.7254867553711</v>
      </c>
      <c r="H63" s="5">
        <v>86.4614766438802</v>
      </c>
    </row>
    <row r="64" ht="15.75" customHeight="1">
      <c r="A64" s="5" t="s">
        <v>193</v>
      </c>
      <c r="B64" s="5">
        <v>25.0</v>
      </c>
      <c r="C64" s="5">
        <v>19.33962249755859</v>
      </c>
      <c r="D64" s="5">
        <v>30.80568695068359</v>
      </c>
      <c r="E64" s="5">
        <v>28.30188751220703</v>
      </c>
      <c r="F64" s="5">
        <v>24.05660438537598</v>
      </c>
      <c r="G64" s="5">
        <v>16.66666603088379</v>
      </c>
      <c r="H64" s="5">
        <v>24.0284112294515</v>
      </c>
    </row>
    <row r="65" ht="15.75" customHeight="1">
      <c r="A65" s="5" t="s">
        <v>130</v>
      </c>
      <c r="B65" s="5">
        <v>37.26415252685547</v>
      </c>
      <c r="C65" s="5">
        <v>24.05660438537598</v>
      </c>
      <c r="D65" s="5">
        <v>6.161137580871582</v>
      </c>
      <c r="E65" s="5">
        <v>26.88679313659668</v>
      </c>
      <c r="F65" s="5">
        <v>14.15094375610352</v>
      </c>
      <c r="G65" s="5">
        <v>20.0980396270752</v>
      </c>
      <c r="H65" s="5">
        <v>21.4362785021464</v>
      </c>
    </row>
    <row r="66" ht="15.75" customHeight="1">
      <c r="A66" s="5" t="s">
        <v>141</v>
      </c>
      <c r="B66" s="5">
        <v>66.03773498535156</v>
      </c>
      <c r="C66" s="5">
        <v>68.39622497558594</v>
      </c>
      <c r="D66" s="5">
        <v>72.98577880859375</v>
      </c>
      <c r="E66" s="5">
        <v>58.49056625366211</v>
      </c>
      <c r="F66" s="5">
        <v>50.0</v>
      </c>
      <c r="G66" s="5">
        <v>54.41176605224609</v>
      </c>
      <c r="H66" s="5">
        <v>61.72034517923991</v>
      </c>
    </row>
    <row r="67" ht="15.75" customHeight="1">
      <c r="A67" s="5" t="s">
        <v>31</v>
      </c>
      <c r="B67" s="5">
        <v>99.52830505371094</v>
      </c>
      <c r="C67" s="5">
        <v>97.16981506347656</v>
      </c>
      <c r="D67" s="5">
        <v>71.09004974365234</v>
      </c>
      <c r="E67" s="5">
        <v>100.0</v>
      </c>
      <c r="F67" s="5">
        <v>96.69811248779297</v>
      </c>
      <c r="G67" s="5">
        <v>97.54901885986328</v>
      </c>
      <c r="H67" s="5">
        <v>93.67255020141602</v>
      </c>
    </row>
    <row r="68" ht="15.75" customHeight="1">
      <c r="A68" s="5" t="s">
        <v>35</v>
      </c>
      <c r="B68" s="5">
        <v>83.96226501464844</v>
      </c>
      <c r="C68" s="5">
        <v>83.01886749267578</v>
      </c>
      <c r="D68" s="5">
        <v>55.92417144775391</v>
      </c>
      <c r="E68" s="5">
        <v>84.9056625366211</v>
      </c>
      <c r="F68" s="5">
        <v>85.37735748291016</v>
      </c>
      <c r="G68" s="5">
        <v>86.76470947265625</v>
      </c>
      <c r="H68" s="5">
        <v>79.99217224121094</v>
      </c>
    </row>
    <row r="69" ht="15.75" customHeight="1">
      <c r="A69" s="5" t="s">
        <v>194</v>
      </c>
      <c r="B69" s="5">
        <v>80.18868255615234</v>
      </c>
      <c r="C69" s="5">
        <v>89.15093994140625</v>
      </c>
      <c r="D69" s="5">
        <v>53.08057022094727</v>
      </c>
      <c r="E69" s="5">
        <v>83.96226501464844</v>
      </c>
      <c r="F69" s="5">
        <v>83.49056243896484</v>
      </c>
      <c r="G69" s="5">
        <v>91.66666412353516</v>
      </c>
      <c r="H69" s="5">
        <v>80.25661404927571</v>
      </c>
    </row>
    <row r="70" ht="15.75" customHeight="1">
      <c r="A70" s="5" t="s">
        <v>195</v>
      </c>
      <c r="B70" s="5">
        <v>17.92452812194824</v>
      </c>
      <c r="C70" s="5">
        <v>23.11320686340332</v>
      </c>
      <c r="D70" s="5">
        <v>33.64928817749023</v>
      </c>
      <c r="E70" s="5">
        <v>20.75471687316895</v>
      </c>
      <c r="F70" s="5">
        <v>25.0</v>
      </c>
      <c r="G70" s="5">
        <v>24.01960754394531</v>
      </c>
      <c r="H70" s="5">
        <v>24.07689126332601</v>
      </c>
    </row>
    <row r="71" ht="15.75" customHeight="1">
      <c r="A71" s="5" t="s">
        <v>196</v>
      </c>
      <c r="B71" s="5">
        <v>46.22641372680664</v>
      </c>
      <c r="C71" s="5">
        <v>29.71698188781738</v>
      </c>
      <c r="D71" s="5">
        <v>45.97156524658203</v>
      </c>
      <c r="E71" s="5">
        <v>38.20754623413086</v>
      </c>
      <c r="F71" s="5">
        <v>28.30188751220703</v>
      </c>
      <c r="G71" s="5">
        <v>45.58823394775391</v>
      </c>
      <c r="H71" s="5">
        <v>39.00210475921631</v>
      </c>
    </row>
    <row r="72" ht="15.75" customHeight="1">
      <c r="A72" s="5" t="s">
        <v>86</v>
      </c>
      <c r="B72" s="5">
        <v>71.2264175415039</v>
      </c>
      <c r="C72" s="5">
        <v>77.83018493652344</v>
      </c>
      <c r="D72" s="5">
        <v>33.17535400390625</v>
      </c>
      <c r="E72" s="5">
        <v>55.18867874145508</v>
      </c>
      <c r="F72" s="5">
        <v>79.71697998046875</v>
      </c>
      <c r="G72" s="5">
        <v>48.03921508789062</v>
      </c>
      <c r="H72" s="5">
        <v>60.86280504862467</v>
      </c>
    </row>
    <row r="73" ht="15.75" customHeight="1">
      <c r="A73" s="5" t="s">
        <v>28</v>
      </c>
      <c r="B73" s="5">
        <v>94.3396224975586</v>
      </c>
      <c r="C73" s="5">
        <v>85.37735748291016</v>
      </c>
      <c r="D73" s="5">
        <v>66.3507080078125</v>
      </c>
      <c r="E73" s="5">
        <v>92.92453002929688</v>
      </c>
      <c r="F73" s="5">
        <v>91.98113250732422</v>
      </c>
      <c r="G73" s="5">
        <v>94.60784149169922</v>
      </c>
      <c r="H73" s="5">
        <v>87.59686533610027</v>
      </c>
    </row>
    <row r="74" ht="15.75" customHeight="1">
      <c r="A74" s="5" t="s">
        <v>113</v>
      </c>
      <c r="B74" s="5">
        <v>51.41509246826172</v>
      </c>
      <c r="C74" s="5">
        <v>47.1698112487793</v>
      </c>
      <c r="D74" s="5">
        <v>45.49763107299805</v>
      </c>
      <c r="E74" s="5">
        <v>49.52830123901367</v>
      </c>
      <c r="F74" s="5">
        <v>45.28302001953125</v>
      </c>
      <c r="G74" s="5">
        <v>60.7843132019043</v>
      </c>
      <c r="H74" s="5">
        <v>49.94636154174805</v>
      </c>
    </row>
    <row r="75" ht="15.75" customHeight="1">
      <c r="A75" s="5" t="s">
        <v>62</v>
      </c>
      <c r="B75" s="5">
        <v>58.01886749267578</v>
      </c>
      <c r="C75" s="5">
        <v>57.54716873168945</v>
      </c>
      <c r="D75" s="5">
        <v>54.02843475341797</v>
      </c>
      <c r="E75" s="5">
        <v>57.07546997070312</v>
      </c>
      <c r="F75" s="5">
        <v>70.75471496582031</v>
      </c>
      <c r="G75" s="5">
        <v>79.4117660522461</v>
      </c>
      <c r="H75" s="5">
        <v>62.80607032775879</v>
      </c>
    </row>
    <row r="76" ht="15.75" customHeight="1">
      <c r="A76" s="5" t="s">
        <v>197</v>
      </c>
      <c r="B76" s="5">
        <v>82.07546997070312</v>
      </c>
      <c r="C76" s="5">
        <v>77.35848999023438</v>
      </c>
      <c r="D76" s="5">
        <v>98.10426330566406</v>
      </c>
      <c r="E76" s="5">
        <v>95.28302001953125</v>
      </c>
      <c r="F76" s="5">
        <v>86.79244995117188</v>
      </c>
      <c r="G76" s="5">
        <v>91.66666412353516</v>
      </c>
      <c r="H76" s="5">
        <v>88.54672622680664</v>
      </c>
    </row>
    <row r="77" ht="15.75" customHeight="1">
      <c r="A77" s="5" t="s">
        <v>198</v>
      </c>
      <c r="B77" s="5">
        <v>68.39622497558594</v>
      </c>
      <c r="C77" s="5">
        <v>50.94339752197266</v>
      </c>
      <c r="D77" s="5">
        <v>86.25592041015625</v>
      </c>
      <c r="E77" s="5">
        <v>69.3396224975586</v>
      </c>
      <c r="F77" s="5">
        <v>61.79245376586914</v>
      </c>
      <c r="G77" s="5">
        <v>71.07843017578125</v>
      </c>
      <c r="H77" s="5">
        <v>67.96767489115398</v>
      </c>
    </row>
    <row r="78" ht="15.75" customHeight="1">
      <c r="A78" s="5" t="s">
        <v>199</v>
      </c>
      <c r="B78" s="5">
        <v>87.73584747314453</v>
      </c>
      <c r="C78" s="5">
        <v>73.11320495605469</v>
      </c>
      <c r="D78" s="5">
        <v>78.19905090332031</v>
      </c>
      <c r="E78" s="5">
        <v>81.60377502441406</v>
      </c>
      <c r="F78" s="5">
        <v>68.39622497558594</v>
      </c>
      <c r="H78" s="5">
        <v>77.8096206665039</v>
      </c>
    </row>
    <row r="79" ht="15.75" customHeight="1">
      <c r="A79" s="5" t="s">
        <v>143</v>
      </c>
      <c r="B79" s="5">
        <v>14.15094375610352</v>
      </c>
      <c r="C79" s="5">
        <v>18.39622688293457</v>
      </c>
      <c r="D79" s="5">
        <v>36.96682357788086</v>
      </c>
      <c r="E79" s="5">
        <v>15.56603813171387</v>
      </c>
      <c r="F79" s="5">
        <v>41.50943374633789</v>
      </c>
      <c r="G79" s="5">
        <v>33.33333206176758</v>
      </c>
      <c r="H79" s="5">
        <v>26.65379969278971</v>
      </c>
    </row>
    <row r="80" ht="15.75" customHeight="1">
      <c r="A80" s="5" t="s">
        <v>200</v>
      </c>
      <c r="B80" s="5">
        <v>20.28301811218262</v>
      </c>
      <c r="C80" s="5">
        <v>16.98113250732422</v>
      </c>
      <c r="D80" s="5">
        <v>16.11374473571777</v>
      </c>
      <c r="E80" s="5">
        <v>14.15094375610352</v>
      </c>
      <c r="F80" s="5">
        <v>13.20754718780518</v>
      </c>
      <c r="G80" s="5">
        <v>17.64705848693848</v>
      </c>
      <c r="H80" s="5">
        <v>16.39724079767863</v>
      </c>
    </row>
    <row r="81" ht="15.75" customHeight="1">
      <c r="A81" s="5" t="s">
        <v>201</v>
      </c>
      <c r="B81" s="5">
        <v>12.73584938049316</v>
      </c>
      <c r="C81" s="5">
        <v>8.018867492675781</v>
      </c>
      <c r="D81" s="5">
        <v>34.12322235107422</v>
      </c>
      <c r="E81" s="5">
        <v>7.075471878051758</v>
      </c>
      <c r="F81" s="5">
        <v>9.905660629272461</v>
      </c>
      <c r="G81" s="5">
        <v>36.27450942993164</v>
      </c>
      <c r="H81" s="5">
        <v>18.0222635269165</v>
      </c>
    </row>
    <row r="82" ht="15.75" customHeight="1">
      <c r="A82" s="5" t="s">
        <v>152</v>
      </c>
      <c r="B82" s="5">
        <v>40.56603622436523</v>
      </c>
      <c r="C82" s="5">
        <v>39.62264251708984</v>
      </c>
      <c r="D82" s="5">
        <v>43.60189437866211</v>
      </c>
      <c r="E82" s="5">
        <v>40.56603622436523</v>
      </c>
      <c r="F82" s="5">
        <v>31.60377311706543</v>
      </c>
      <c r="G82" s="5">
        <v>52.94117736816406</v>
      </c>
      <c r="H82" s="5">
        <v>41.48359330495199</v>
      </c>
    </row>
    <row r="83" ht="15.75" customHeight="1">
      <c r="A83" s="5" t="s">
        <v>158</v>
      </c>
      <c r="B83" s="5">
        <v>6.132075309753418</v>
      </c>
      <c r="C83" s="5">
        <v>0.9433962106704712</v>
      </c>
      <c r="D83" s="5">
        <v>10.42654037475586</v>
      </c>
      <c r="E83" s="5">
        <v>7.54716968536377</v>
      </c>
      <c r="F83" s="5">
        <v>8.49056625366211</v>
      </c>
      <c r="G83" s="5">
        <v>16.17646980285645</v>
      </c>
      <c r="H83" s="5">
        <v>8.28603627284368</v>
      </c>
    </row>
    <row r="84" ht="15.75" customHeight="1">
      <c r="A84" s="5" t="s">
        <v>156</v>
      </c>
      <c r="B84" s="5">
        <v>15.09433937072754</v>
      </c>
      <c r="C84" s="5">
        <v>22.64151000976562</v>
      </c>
      <c r="D84" s="5">
        <v>27.96208572387695</v>
      </c>
      <c r="E84" s="5">
        <v>15.09433937072754</v>
      </c>
      <c r="F84" s="5">
        <v>32.07546997070312</v>
      </c>
      <c r="G84" s="5">
        <v>35.29411697387695</v>
      </c>
      <c r="H84" s="5">
        <v>24.69364356994629</v>
      </c>
    </row>
    <row r="85" ht="15.75" customHeight="1">
      <c r="A85" s="5" t="s">
        <v>19</v>
      </c>
      <c r="B85" s="5">
        <v>93.39622497558594</v>
      </c>
      <c r="C85" s="5">
        <v>92.92453002929688</v>
      </c>
      <c r="D85" s="5">
        <v>69.66824340820312</v>
      </c>
      <c r="E85" s="5">
        <v>87.73584747314453</v>
      </c>
      <c r="F85" s="5">
        <v>93.86792755126953</v>
      </c>
      <c r="G85" s="5">
        <v>37.25490188598633</v>
      </c>
      <c r="H85" s="5">
        <v>79.14127922058105</v>
      </c>
    </row>
    <row r="86" ht="15.75" customHeight="1">
      <c r="A86" s="5" t="s">
        <v>58</v>
      </c>
      <c r="B86" s="5">
        <v>54.71697998046875</v>
      </c>
      <c r="C86" s="5">
        <v>62.73584747314453</v>
      </c>
      <c r="D86" s="5">
        <v>72.03791809082031</v>
      </c>
      <c r="E86" s="5">
        <v>63.20754623413086</v>
      </c>
      <c r="F86" s="5">
        <v>62.73584747314453</v>
      </c>
      <c r="G86" s="5">
        <v>59.31372451782227</v>
      </c>
      <c r="H86" s="5">
        <v>62.45797729492188</v>
      </c>
    </row>
    <row r="87" ht="15.75" customHeight="1">
      <c r="A87" s="5" t="s">
        <v>16</v>
      </c>
      <c r="B87" s="5">
        <v>91.98113250732422</v>
      </c>
      <c r="C87" s="5">
        <v>93.39622497558594</v>
      </c>
      <c r="D87" s="5">
        <v>95.26066589355469</v>
      </c>
      <c r="E87" s="5">
        <v>96.69811248779297</v>
      </c>
      <c r="F87" s="5">
        <v>87.26415252685547</v>
      </c>
      <c r="G87" s="5">
        <v>94.11764526367188</v>
      </c>
      <c r="H87" s="5">
        <v>93.11965560913086</v>
      </c>
    </row>
    <row r="88" ht="15.75" customHeight="1">
      <c r="A88" s="5" t="s">
        <v>71</v>
      </c>
      <c r="B88" s="5">
        <v>41.50943374633789</v>
      </c>
      <c r="C88" s="5">
        <v>67.92453002929688</v>
      </c>
      <c r="D88" s="5">
        <v>21.3270149230957</v>
      </c>
      <c r="E88" s="5">
        <v>56.13207626342773</v>
      </c>
      <c r="F88" s="5">
        <v>47.1698112487793</v>
      </c>
      <c r="G88" s="5">
        <v>51.47058868408203</v>
      </c>
      <c r="H88" s="5">
        <v>47.58890914916992</v>
      </c>
    </row>
    <row r="89" ht="15.75" customHeight="1">
      <c r="A89" s="5" t="s">
        <v>104</v>
      </c>
      <c r="B89" s="5">
        <v>36.32075500488281</v>
      </c>
      <c r="C89" s="5">
        <v>69.81131744384766</v>
      </c>
      <c r="D89" s="5">
        <v>28.90995216369629</v>
      </c>
      <c r="E89" s="5">
        <v>46.69811248779297</v>
      </c>
      <c r="F89" s="5">
        <v>60.84905624389648</v>
      </c>
      <c r="G89" s="5">
        <v>52.45098114013672</v>
      </c>
      <c r="H89" s="5">
        <v>49.17336241404215</v>
      </c>
    </row>
    <row r="90" ht="15.75" customHeight="1">
      <c r="A90" s="5" t="s">
        <v>109</v>
      </c>
      <c r="B90" s="5">
        <v>10.37735843658447</v>
      </c>
      <c r="C90" s="5">
        <v>14.15094375610352</v>
      </c>
      <c r="D90" s="5">
        <v>8.056872367858887</v>
      </c>
      <c r="E90" s="5">
        <v>16.03773498535156</v>
      </c>
      <c r="F90" s="5">
        <v>4.245283126831055</v>
      </c>
      <c r="G90" s="5">
        <v>7.843137264251709</v>
      </c>
      <c r="H90" s="5">
        <v>10.11855498949687</v>
      </c>
    </row>
    <row r="91" ht="15.75" customHeight="1">
      <c r="A91" s="5" t="s">
        <v>91</v>
      </c>
      <c r="B91" s="5">
        <v>8.49056625366211</v>
      </c>
      <c r="C91" s="5">
        <v>8.49056625366211</v>
      </c>
      <c r="D91" s="5">
        <v>2.369668245315552</v>
      </c>
      <c r="E91" s="5">
        <v>3.773584842681885</v>
      </c>
      <c r="F91" s="5">
        <v>6.603773593902588</v>
      </c>
      <c r="G91" s="5">
        <v>23.52941131591797</v>
      </c>
      <c r="H91" s="5">
        <v>8.876261750857035</v>
      </c>
    </row>
    <row r="92" ht="15.75" customHeight="1">
      <c r="A92" s="5" t="s">
        <v>25</v>
      </c>
      <c r="B92" s="5">
        <v>92.92453002929688</v>
      </c>
      <c r="C92" s="5">
        <v>94.3396224975586</v>
      </c>
      <c r="D92" s="5">
        <v>78.67298889160156</v>
      </c>
      <c r="E92" s="5">
        <v>93.86792755126953</v>
      </c>
      <c r="F92" s="5">
        <v>96.2264175415039</v>
      </c>
      <c r="G92" s="5">
        <v>95.5882339477539</v>
      </c>
      <c r="H92" s="5">
        <v>91.93662007649739</v>
      </c>
    </row>
    <row r="93" ht="15.75" customHeight="1">
      <c r="A93" s="5" t="s">
        <v>27</v>
      </c>
      <c r="B93" s="5">
        <v>78.7735824584961</v>
      </c>
      <c r="C93" s="5">
        <v>83.49056243896484</v>
      </c>
      <c r="D93" s="5">
        <v>9.952606201171875</v>
      </c>
      <c r="E93" s="5">
        <v>77.35848999023438</v>
      </c>
      <c r="F93" s="5">
        <v>84.4339599609375</v>
      </c>
      <c r="G93" s="5">
        <v>69.11764526367188</v>
      </c>
      <c r="H93" s="5">
        <v>67.18780771891277</v>
      </c>
    </row>
    <row r="94" ht="15.75" customHeight="1">
      <c r="A94" s="5" t="s">
        <v>44</v>
      </c>
      <c r="B94" s="5">
        <v>67.92453002929688</v>
      </c>
      <c r="C94" s="5">
        <v>70.28302001953125</v>
      </c>
      <c r="D94" s="5">
        <v>64.92890930175781</v>
      </c>
      <c r="E94" s="5">
        <v>60.84905624389648</v>
      </c>
      <c r="F94" s="5">
        <v>72.64151000976562</v>
      </c>
      <c r="G94" s="5">
        <v>85.78431701660156</v>
      </c>
      <c r="H94" s="5">
        <v>70.40189043680827</v>
      </c>
    </row>
    <row r="95" ht="15.75" customHeight="1">
      <c r="A95" s="5" t="s">
        <v>154</v>
      </c>
      <c r="B95" s="5">
        <v>50.94339752197266</v>
      </c>
      <c r="C95" s="5">
        <v>66.03773498535156</v>
      </c>
      <c r="D95" s="5">
        <v>57.34597015380859</v>
      </c>
      <c r="E95" s="5">
        <v>44.81132125854492</v>
      </c>
      <c r="F95" s="5">
        <v>53.77358627319336</v>
      </c>
      <c r="G95" s="5">
        <v>65.19607543945312</v>
      </c>
      <c r="H95" s="5">
        <v>56.35134760538737</v>
      </c>
    </row>
    <row r="96" ht="15.75" customHeight="1">
      <c r="A96" s="5" t="s">
        <v>40</v>
      </c>
      <c r="B96" s="5">
        <v>90.0943374633789</v>
      </c>
      <c r="C96" s="5">
        <v>96.69811248779297</v>
      </c>
      <c r="D96" s="5">
        <v>81.51658630371094</v>
      </c>
      <c r="E96" s="5">
        <v>92.45282745361328</v>
      </c>
      <c r="F96" s="5">
        <v>92.45282745361328</v>
      </c>
      <c r="G96" s="5">
        <v>85.29412078857422</v>
      </c>
      <c r="H96" s="5">
        <v>89.75146865844727</v>
      </c>
    </row>
    <row r="97" ht="15.75" customHeight="1">
      <c r="A97" s="5" t="s">
        <v>202</v>
      </c>
      <c r="B97" s="5">
        <v>82.07546997070312</v>
      </c>
      <c r="C97" s="5">
        <v>84.9056625366211</v>
      </c>
      <c r="D97" s="5">
        <v>100.0</v>
      </c>
      <c r="E97" s="5">
        <v>95.28302001953125</v>
      </c>
      <c r="F97" s="5">
        <v>81.60377502441406</v>
      </c>
      <c r="G97" s="5">
        <v>91.66666412353516</v>
      </c>
      <c r="H97" s="5">
        <v>89.25576527913411</v>
      </c>
    </row>
    <row r="98" ht="15.75" customHeight="1">
      <c r="A98" s="5" t="s">
        <v>76</v>
      </c>
      <c r="B98" s="5">
        <v>57.54716873168945</v>
      </c>
      <c r="C98" s="5">
        <v>64.62264251708984</v>
      </c>
      <c r="D98" s="5">
        <v>40.28435897827148</v>
      </c>
      <c r="E98" s="5">
        <v>58.01886749267578</v>
      </c>
      <c r="F98" s="5">
        <v>59.43396377563477</v>
      </c>
      <c r="G98" s="5">
        <v>26.96078491210938</v>
      </c>
      <c r="H98" s="5">
        <v>51.14463106791178</v>
      </c>
    </row>
    <row r="99" ht="15.75" customHeight="1">
      <c r="A99" s="5" t="s">
        <v>80</v>
      </c>
      <c r="B99" s="5">
        <v>47.1698112487793</v>
      </c>
      <c r="C99" s="5">
        <v>57.07546997070312</v>
      </c>
      <c r="D99" s="5">
        <v>36.49288940429688</v>
      </c>
      <c r="E99" s="5">
        <v>36.79245376586914</v>
      </c>
      <c r="F99" s="5">
        <v>53.30188751220703</v>
      </c>
      <c r="G99" s="5">
        <v>21.56862831115723</v>
      </c>
      <c r="H99" s="5">
        <v>42.06685670216878</v>
      </c>
    </row>
    <row r="100" ht="15.75" customHeight="1">
      <c r="A100" s="5" t="s">
        <v>106</v>
      </c>
      <c r="B100" s="5">
        <v>24.05660438537598</v>
      </c>
      <c r="C100" s="5">
        <v>38.67924499511719</v>
      </c>
      <c r="D100" s="5">
        <v>14.69194316864014</v>
      </c>
      <c r="E100" s="5">
        <v>41.03773498535156</v>
      </c>
      <c r="F100" s="5">
        <v>37.73584747314453</v>
      </c>
      <c r="G100" s="5">
        <v>41.66666793823242</v>
      </c>
      <c r="H100" s="5">
        <v>32.97800715764364</v>
      </c>
    </row>
    <row r="101" ht="15.75" customHeight="1">
      <c r="A101" s="5" t="s">
        <v>203</v>
      </c>
      <c r="B101" s="5">
        <v>64.15093994140625</v>
      </c>
      <c r="C101" s="5">
        <v>46.22641372680664</v>
      </c>
      <c r="D101" s="5">
        <v>90.9952621459961</v>
      </c>
      <c r="E101" s="5">
        <v>68.39622497558594</v>
      </c>
      <c r="F101" s="5">
        <v>42.45283126831055</v>
      </c>
      <c r="G101" s="5">
        <v>84.31372833251953</v>
      </c>
      <c r="H101" s="5">
        <v>66.0892333984375</v>
      </c>
    </row>
    <row r="102" ht="15.75" customHeight="1">
      <c r="A102" s="5" t="s">
        <v>37</v>
      </c>
      <c r="B102" s="5">
        <v>2.358490467071533</v>
      </c>
      <c r="C102" s="5">
        <v>7.075471878051758</v>
      </c>
      <c r="D102" s="5">
        <v>30.33175277709961</v>
      </c>
      <c r="E102" s="5">
        <v>5.660377502441406</v>
      </c>
      <c r="F102" s="5">
        <v>0.0</v>
      </c>
      <c r="G102" s="5">
        <v>0.0</v>
      </c>
      <c r="H102" s="5">
        <v>7.571015437444051</v>
      </c>
    </row>
    <row r="103" ht="15.75" customHeight="1">
      <c r="A103" s="5" t="s">
        <v>204</v>
      </c>
      <c r="B103" s="5">
        <v>79.71697998046875</v>
      </c>
      <c r="C103" s="5">
        <v>90.5660400390625</v>
      </c>
      <c r="D103" s="5">
        <v>68.24644470214844</v>
      </c>
      <c r="E103" s="5">
        <v>85.84906005859375</v>
      </c>
      <c r="F103" s="5">
        <v>84.9056625366211</v>
      </c>
      <c r="G103" s="5">
        <v>73.52941131591797</v>
      </c>
      <c r="H103" s="5">
        <v>80.46893310546875</v>
      </c>
    </row>
    <row r="104" ht="15.75" customHeight="1">
      <c r="A104" s="4" t="s">
        <v>88</v>
      </c>
      <c r="B104" s="5">
        <v>48.58490753173828</v>
      </c>
      <c r="C104" s="5">
        <v>47.64151000976562</v>
      </c>
      <c r="D104" s="5">
        <v>34.5971565246582</v>
      </c>
      <c r="E104" s="5">
        <v>41.50943374633789</v>
      </c>
      <c r="F104" s="5">
        <v>41.03773498535156</v>
      </c>
      <c r="G104" s="5">
        <v>43.13725662231445</v>
      </c>
      <c r="H104" s="5">
        <v>42.75133323669434</v>
      </c>
    </row>
    <row r="105" ht="15.75" customHeight="1">
      <c r="A105" s="5" t="s">
        <v>36</v>
      </c>
      <c r="B105" s="5">
        <v>60.37735748291016</v>
      </c>
      <c r="C105" s="5">
        <v>51.41509246826172</v>
      </c>
      <c r="D105" s="5">
        <v>58.76777267456055</v>
      </c>
      <c r="E105" s="5">
        <v>58.96226501464844</v>
      </c>
      <c r="F105" s="5">
        <v>63.67924499511719</v>
      </c>
      <c r="G105" s="5">
        <v>31.37254905700684</v>
      </c>
      <c r="H105" s="5">
        <v>54.09571361541748</v>
      </c>
    </row>
    <row r="106" ht="15.75" customHeight="1">
      <c r="A106" s="5" t="s">
        <v>99</v>
      </c>
      <c r="B106" s="5">
        <v>11.32075500488281</v>
      </c>
      <c r="C106" s="5">
        <v>18.86792373657227</v>
      </c>
      <c r="D106" s="5">
        <v>26.54028511047363</v>
      </c>
      <c r="E106" s="5">
        <v>12.73584938049316</v>
      </c>
      <c r="F106" s="5">
        <v>29.24528312683105</v>
      </c>
      <c r="G106" s="5">
        <v>28.43137168884277</v>
      </c>
      <c r="H106" s="5">
        <v>21.19024467468262</v>
      </c>
    </row>
    <row r="107" ht="15.75" customHeight="1">
      <c r="A107" s="5" t="s">
        <v>205</v>
      </c>
      <c r="B107" s="5">
        <v>19.81132125854492</v>
      </c>
      <c r="C107" s="5">
        <v>28.30188751220703</v>
      </c>
      <c r="D107" s="5">
        <v>75.35545349121094</v>
      </c>
      <c r="E107" s="5">
        <v>22.64151000976562</v>
      </c>
      <c r="F107" s="5">
        <v>17.92452812194824</v>
      </c>
      <c r="G107" s="5">
        <v>5.392157077789307</v>
      </c>
      <c r="H107" s="5">
        <v>28.23780957857768</v>
      </c>
    </row>
    <row r="108" ht="15.75" customHeight="1">
      <c r="A108" s="5" t="s">
        <v>55</v>
      </c>
      <c r="B108" s="5">
        <v>74.52830505371094</v>
      </c>
      <c r="C108" s="5">
        <v>74.05660247802734</v>
      </c>
      <c r="D108" s="5">
        <v>66.82464599609375</v>
      </c>
      <c r="E108" s="5">
        <v>83.01886749267578</v>
      </c>
      <c r="F108" s="5">
        <v>86.32075500488281</v>
      </c>
      <c r="G108" s="5">
        <v>78.4313735961914</v>
      </c>
      <c r="H108" s="5">
        <v>77.19675827026367</v>
      </c>
    </row>
    <row r="109" ht="15.75" customHeight="1">
      <c r="A109" s="5" t="s">
        <v>83</v>
      </c>
      <c r="B109" s="5">
        <v>10.84905624389648</v>
      </c>
      <c r="C109" s="5">
        <v>6.132075309753418</v>
      </c>
      <c r="D109" s="5">
        <v>9.478672981262207</v>
      </c>
      <c r="E109" s="5">
        <v>13.20754718780518</v>
      </c>
      <c r="F109" s="5">
        <v>14.62264156341553</v>
      </c>
      <c r="G109" s="5">
        <v>30.88235282897949</v>
      </c>
      <c r="H109" s="5">
        <v>14.19539101918538</v>
      </c>
    </row>
    <row r="110" ht="15.75" customHeight="1">
      <c r="A110" s="5" t="s">
        <v>206</v>
      </c>
      <c r="B110" s="5">
        <v>33.49056625366211</v>
      </c>
      <c r="C110" s="5">
        <v>16.50943374633789</v>
      </c>
      <c r="D110" s="5">
        <v>35.54502487182617</v>
      </c>
      <c r="E110" s="5">
        <v>33.96226501464844</v>
      </c>
      <c r="F110" s="5">
        <v>29.71698188781738</v>
      </c>
      <c r="G110" s="5">
        <v>47.54901885986328</v>
      </c>
      <c r="H110" s="5">
        <v>32.79554843902588</v>
      </c>
    </row>
    <row r="111" ht="15.75" customHeight="1">
      <c r="A111" s="5" t="s">
        <v>207</v>
      </c>
      <c r="B111" s="5">
        <v>20.75471687316895</v>
      </c>
      <c r="C111" s="5">
        <v>8.962264060974121</v>
      </c>
      <c r="D111" s="5">
        <v>42.65402984619141</v>
      </c>
      <c r="E111" s="5">
        <v>16.98113250732422</v>
      </c>
      <c r="F111" s="5">
        <v>18.39622688293457</v>
      </c>
      <c r="G111" s="5">
        <v>49.01960754394531</v>
      </c>
      <c r="H111" s="5">
        <v>26.12799628575643</v>
      </c>
    </row>
    <row r="112" ht="15.75" customHeight="1">
      <c r="A112" s="5" t="s">
        <v>103</v>
      </c>
      <c r="B112" s="5">
        <v>3.773584842681885</v>
      </c>
      <c r="C112" s="5">
        <v>5.188679218292236</v>
      </c>
      <c r="D112" s="5">
        <v>4.265402793884277</v>
      </c>
      <c r="E112" s="5">
        <v>2.358490467071533</v>
      </c>
      <c r="F112" s="5">
        <v>2.358490467071533</v>
      </c>
      <c r="G112" s="5">
        <v>9.803921699523926</v>
      </c>
      <c r="H112" s="5">
        <v>4.624761581420898</v>
      </c>
    </row>
    <row r="113" ht="15.75" customHeight="1">
      <c r="A113" s="5" t="s">
        <v>208</v>
      </c>
      <c r="B113" s="5">
        <v>95.28302001953125</v>
      </c>
      <c r="C113" s="5">
        <v>96.2264175415039</v>
      </c>
      <c r="D113" s="5">
        <v>99.05213165283203</v>
      </c>
      <c r="E113" s="5">
        <v>96.2264175415039</v>
      </c>
      <c r="F113" s="5">
        <v>94.3396224975586</v>
      </c>
      <c r="G113" s="5">
        <v>93.13725280761719</v>
      </c>
      <c r="H113" s="5">
        <v>95.71081034342448</v>
      </c>
    </row>
    <row r="114" ht="15.75" customHeight="1">
      <c r="A114" s="5" t="s">
        <v>52</v>
      </c>
      <c r="B114" s="5">
        <v>77.83018493652344</v>
      </c>
      <c r="C114" s="5">
        <v>81.60377502441406</v>
      </c>
      <c r="D114" s="5">
        <v>72.51184844970703</v>
      </c>
      <c r="E114" s="5">
        <v>86.79244995117188</v>
      </c>
      <c r="F114" s="5">
        <v>88.20755004882812</v>
      </c>
      <c r="G114" s="5">
        <v>81.86274719238281</v>
      </c>
      <c r="H114" s="5">
        <v>81.46809260050456</v>
      </c>
    </row>
    <row r="115" ht="15.75" customHeight="1">
      <c r="A115" s="5" t="s">
        <v>13</v>
      </c>
      <c r="B115" s="5">
        <v>96.69811248779297</v>
      </c>
      <c r="C115" s="5">
        <v>98.11320495605469</v>
      </c>
      <c r="D115" s="5">
        <v>87.67772674560547</v>
      </c>
      <c r="E115" s="5">
        <v>97.64151000976562</v>
      </c>
      <c r="F115" s="5">
        <v>99.05660247802734</v>
      </c>
      <c r="G115" s="5">
        <v>98.03921508789062</v>
      </c>
      <c r="H115" s="5">
        <v>96.20439529418945</v>
      </c>
    </row>
    <row r="116" ht="15.75" customHeight="1">
      <c r="A116" s="5" t="s">
        <v>209</v>
      </c>
      <c r="B116" s="5">
        <v>79.24528503417969</v>
      </c>
      <c r="C116" s="5">
        <v>82.07546997070312</v>
      </c>
      <c r="D116" s="5">
        <v>88.15165710449219</v>
      </c>
      <c r="E116" s="5">
        <v>76.88679504394531</v>
      </c>
      <c r="F116" s="5">
        <v>97.64151000976562</v>
      </c>
      <c r="G116" s="5">
        <v>33.82352828979492</v>
      </c>
      <c r="H116" s="5">
        <v>76.30404090881348</v>
      </c>
    </row>
    <row r="117" ht="15.75" customHeight="1">
      <c r="A117" s="5" t="s">
        <v>210</v>
      </c>
      <c r="B117" s="5">
        <v>18.39622688293457</v>
      </c>
      <c r="C117" s="5">
        <v>13.67924499511719</v>
      </c>
      <c r="D117" s="5">
        <v>19.90521240234375</v>
      </c>
      <c r="E117" s="5">
        <v>18.86792373657227</v>
      </c>
      <c r="F117" s="5">
        <v>21.22641563415527</v>
      </c>
      <c r="G117" s="5">
        <v>37.74509811401367</v>
      </c>
      <c r="H117" s="5">
        <v>21.63668696085612</v>
      </c>
    </row>
    <row r="118" ht="15.75" customHeight="1">
      <c r="A118" s="5" t="s">
        <v>211</v>
      </c>
      <c r="B118" s="5">
        <v>29.71698188781738</v>
      </c>
      <c r="C118" s="5">
        <v>19.81132125854492</v>
      </c>
      <c r="D118" s="5">
        <v>37.91469192504883</v>
      </c>
      <c r="E118" s="5">
        <v>46.22641372680664</v>
      </c>
      <c r="F118" s="5">
        <v>22.1698112487793</v>
      </c>
      <c r="G118" s="5">
        <v>50.0</v>
      </c>
      <c r="H118" s="5">
        <v>34.30653667449951</v>
      </c>
    </row>
    <row r="119" ht="15.75" customHeight="1">
      <c r="A119" s="5" t="s">
        <v>61</v>
      </c>
      <c r="B119" s="5">
        <v>61.79245376586914</v>
      </c>
      <c r="C119" s="5">
        <v>79.71697998046875</v>
      </c>
      <c r="D119" s="5">
        <v>50.71089935302734</v>
      </c>
      <c r="E119" s="5">
        <v>67.45282745361328</v>
      </c>
      <c r="F119" s="5">
        <v>73.11320495605469</v>
      </c>
      <c r="G119" s="5">
        <v>50.98039245605469</v>
      </c>
      <c r="H119" s="5">
        <v>63.96112632751465</v>
      </c>
    </row>
    <row r="120" ht="15.75" customHeight="1">
      <c r="A120" s="5" t="s">
        <v>139</v>
      </c>
      <c r="B120" s="5">
        <v>39.62264251708984</v>
      </c>
      <c r="C120" s="5">
        <v>45.28302001953125</v>
      </c>
      <c r="D120" s="5">
        <v>62.55924224853516</v>
      </c>
      <c r="E120" s="5">
        <v>50.94339752197266</v>
      </c>
      <c r="F120" s="5">
        <v>26.41509437561035</v>
      </c>
      <c r="G120" s="5">
        <v>41.17647171020508</v>
      </c>
      <c r="H120" s="5">
        <v>44.33331139882406</v>
      </c>
    </row>
    <row r="121" ht="15.75" customHeight="1">
      <c r="A121" s="5" t="s">
        <v>212</v>
      </c>
      <c r="B121" s="5">
        <v>21.22641563415527</v>
      </c>
      <c r="C121" s="5">
        <v>12.73584938049316</v>
      </c>
      <c r="D121" s="5">
        <v>0.4739336371421814</v>
      </c>
      <c r="E121" s="5">
        <v>18.39622688293457</v>
      </c>
      <c r="F121" s="5">
        <v>25.94339561462402</v>
      </c>
      <c r="G121" s="5">
        <v>20.58823585510254</v>
      </c>
      <c r="H121" s="5">
        <v>16.56067616740863</v>
      </c>
    </row>
    <row r="122" ht="15.75" customHeight="1">
      <c r="A122" s="5" t="s">
        <v>50</v>
      </c>
      <c r="B122" s="5">
        <v>58.49056625366211</v>
      </c>
      <c r="C122" s="5">
        <v>65.5660400390625</v>
      </c>
      <c r="D122" s="5">
        <v>77.25118255615234</v>
      </c>
      <c r="E122" s="5">
        <v>75.47169494628906</v>
      </c>
      <c r="F122" s="5">
        <v>74.05660247802734</v>
      </c>
      <c r="G122" s="5">
        <v>76.96078491210938</v>
      </c>
      <c r="H122" s="5">
        <v>71.29947853088379</v>
      </c>
    </row>
    <row r="123" ht="15.75" customHeight="1">
      <c r="A123" s="5" t="s">
        <v>213</v>
      </c>
      <c r="B123" s="5">
        <v>64.15093994140625</v>
      </c>
      <c r="C123" s="5">
        <v>54.71697998046875</v>
      </c>
      <c r="D123" s="5">
        <v>93.36492919921875</v>
      </c>
      <c r="E123" s="5">
        <v>73.11320495605469</v>
      </c>
      <c r="F123" s="5">
        <v>36.32075500488281</v>
      </c>
      <c r="G123" s="5">
        <v>86.2745132446289</v>
      </c>
      <c r="H123" s="5">
        <v>67.99022038777669</v>
      </c>
    </row>
    <row r="124" ht="15.75" customHeight="1">
      <c r="A124" s="5" t="s">
        <v>214</v>
      </c>
      <c r="B124" s="5">
        <v>70.75471496582031</v>
      </c>
      <c r="C124" s="5">
        <v>73.11320495605469</v>
      </c>
      <c r="D124" s="5">
        <v>61.61137390136719</v>
      </c>
      <c r="E124" s="5">
        <v>75.0</v>
      </c>
      <c r="F124" s="5">
        <v>79.24528503417969</v>
      </c>
      <c r="H124" s="5">
        <v>71.94491577148438</v>
      </c>
    </row>
    <row r="125" ht="15.75" customHeight="1">
      <c r="A125" s="5" t="s">
        <v>215</v>
      </c>
      <c r="B125" s="5">
        <v>22.64151000976562</v>
      </c>
      <c r="C125" s="5">
        <v>24.52830123901367</v>
      </c>
      <c r="D125" s="5">
        <v>26.06635093688965</v>
      </c>
      <c r="E125" s="5">
        <v>27.35848999023438</v>
      </c>
      <c r="F125" s="5">
        <v>15.09433937072754</v>
      </c>
      <c r="G125" s="5">
        <v>30.39215660095215</v>
      </c>
      <c r="H125" s="5">
        <v>24.34685802459717</v>
      </c>
    </row>
    <row r="126" ht="15.75" customHeight="1">
      <c r="A126" s="5" t="s">
        <v>75</v>
      </c>
      <c r="B126" s="5">
        <v>65.5660400390625</v>
      </c>
      <c r="C126" s="5">
        <v>75.0</v>
      </c>
      <c r="D126" s="5">
        <v>74.88151550292969</v>
      </c>
      <c r="E126" s="5">
        <v>77.83018493652344</v>
      </c>
      <c r="F126" s="5">
        <v>82.54717254638672</v>
      </c>
      <c r="G126" s="5">
        <v>66.66666412353516</v>
      </c>
      <c r="H126" s="5">
        <v>73.74859619140625</v>
      </c>
    </row>
    <row r="127" ht="15.75" customHeight="1">
      <c r="A127" s="5" t="s">
        <v>70</v>
      </c>
      <c r="B127" s="5">
        <v>17.45282936096191</v>
      </c>
      <c r="C127" s="5">
        <v>43.39622497558594</v>
      </c>
      <c r="D127" s="5">
        <v>22.74881553649902</v>
      </c>
      <c r="E127" s="5">
        <v>24.05660438537598</v>
      </c>
      <c r="F127" s="5">
        <v>46.22641372680664</v>
      </c>
      <c r="G127" s="5">
        <v>42.15686416625977</v>
      </c>
      <c r="H127" s="5">
        <v>32.67295869191488</v>
      </c>
    </row>
    <row r="128" ht="15.75" customHeight="1">
      <c r="A128" s="5" t="s">
        <v>216</v>
      </c>
      <c r="B128" s="5">
        <v>78.30188751220703</v>
      </c>
      <c r="C128" s="5">
        <v>59.43396377563477</v>
      </c>
      <c r="D128" s="5">
        <v>89.5734634399414</v>
      </c>
      <c r="E128" s="5">
        <v>72.16981506347656</v>
      </c>
      <c r="F128" s="5">
        <v>30.66037750244141</v>
      </c>
      <c r="G128" s="5">
        <v>83.82353210449219</v>
      </c>
      <c r="H128" s="5">
        <v>68.9938398996989</v>
      </c>
    </row>
    <row r="129" ht="15.75" customHeight="1">
      <c r="A129" s="5" t="s">
        <v>79</v>
      </c>
      <c r="B129" s="5">
        <v>46.69811248779297</v>
      </c>
      <c r="C129" s="5">
        <v>44.33962249755859</v>
      </c>
      <c r="D129" s="5">
        <v>20.37914657592773</v>
      </c>
      <c r="E129" s="5">
        <v>47.1698112487793</v>
      </c>
      <c r="F129" s="5">
        <v>54.71697998046875</v>
      </c>
      <c r="G129" s="5">
        <v>55.88235473632812</v>
      </c>
      <c r="H129" s="5">
        <v>44.86433792114258</v>
      </c>
    </row>
    <row r="130" ht="15.75" customHeight="1">
      <c r="A130" s="5" t="s">
        <v>121</v>
      </c>
      <c r="B130" s="5">
        <v>87.73584747314453</v>
      </c>
      <c r="C130" s="5">
        <v>99.05660247802734</v>
      </c>
      <c r="D130" s="5">
        <v>93.36492919921875</v>
      </c>
      <c r="E130" s="5">
        <v>91.50943756103516</v>
      </c>
      <c r="F130" s="5">
        <v>89.62264251708984</v>
      </c>
      <c r="G130" s="5">
        <v>69.60784149169922</v>
      </c>
      <c r="H130" s="5">
        <v>88.48288345336914</v>
      </c>
    </row>
    <row r="131" ht="15.75" customHeight="1">
      <c r="A131" s="5" t="s">
        <v>134</v>
      </c>
      <c r="B131" s="5">
        <v>35.37735748291016</v>
      </c>
      <c r="C131" s="5">
        <v>33.96226501464844</v>
      </c>
      <c r="D131" s="5">
        <v>67.29857635498047</v>
      </c>
      <c r="E131" s="5">
        <v>43.86792373657227</v>
      </c>
      <c r="F131" s="5">
        <v>45.75471878051758</v>
      </c>
      <c r="G131" s="5">
        <v>56.3725471496582</v>
      </c>
      <c r="H131" s="5">
        <v>47.10556475321452</v>
      </c>
    </row>
    <row r="132" ht="15.75" customHeight="1">
      <c r="A132" s="5" t="s">
        <v>67</v>
      </c>
      <c r="B132" s="5">
        <v>51.88679122924805</v>
      </c>
      <c r="C132" s="5">
        <v>59.90565872192383</v>
      </c>
      <c r="D132" s="5">
        <v>48.81516647338867</v>
      </c>
      <c r="E132" s="5">
        <v>52.35848999023438</v>
      </c>
      <c r="F132" s="5">
        <v>64.15093994140625</v>
      </c>
      <c r="G132" s="5">
        <v>58.33333206176758</v>
      </c>
      <c r="H132" s="5">
        <v>55.90839640299479</v>
      </c>
    </row>
    <row r="133" ht="15.75" customHeight="1">
      <c r="A133" s="5" t="s">
        <v>93</v>
      </c>
      <c r="B133" s="5">
        <v>33.01886749267578</v>
      </c>
      <c r="C133" s="5">
        <v>50.0</v>
      </c>
      <c r="D133" s="5">
        <v>29.85782051086426</v>
      </c>
      <c r="E133" s="5">
        <v>48.58490753173828</v>
      </c>
      <c r="F133" s="5">
        <v>50.94339752197266</v>
      </c>
      <c r="G133" s="5">
        <v>34.31372451782227</v>
      </c>
      <c r="H133" s="5">
        <v>41.11978626251221</v>
      </c>
    </row>
    <row r="134" ht="15.75" customHeight="1">
      <c r="A134" s="5" t="s">
        <v>146</v>
      </c>
      <c r="B134" s="5">
        <v>22.1698112487793</v>
      </c>
      <c r="C134" s="5">
        <v>25.94339561462402</v>
      </c>
      <c r="D134" s="5">
        <v>11.84834098815918</v>
      </c>
      <c r="E134" s="5">
        <v>17.45282936096191</v>
      </c>
      <c r="F134" s="5">
        <v>24.52830123901367</v>
      </c>
      <c r="G134" s="5">
        <v>31.86274528503418</v>
      </c>
      <c r="H134" s="5">
        <v>22.30090395609538</v>
      </c>
    </row>
    <row r="135" ht="15.75" customHeight="1">
      <c r="A135" s="5" t="s">
        <v>132</v>
      </c>
      <c r="B135" s="5">
        <v>11.79245281219482</v>
      </c>
      <c r="C135" s="5">
        <v>3.773584842681885</v>
      </c>
      <c r="D135" s="5">
        <v>4.739336490631104</v>
      </c>
      <c r="E135" s="5">
        <v>6.132075309753418</v>
      </c>
      <c r="F135" s="5">
        <v>7.075471878051758</v>
      </c>
      <c r="G135" s="5">
        <v>2.450980424880981</v>
      </c>
      <c r="H135" s="5">
        <v>5.993983626365662</v>
      </c>
    </row>
    <row r="136" ht="15.75" customHeight="1">
      <c r="A136" s="5" t="s">
        <v>147</v>
      </c>
      <c r="B136" s="5">
        <v>58.96226501464844</v>
      </c>
      <c r="C136" s="5">
        <v>52.8301887512207</v>
      </c>
      <c r="D136" s="5">
        <v>63.50711059570312</v>
      </c>
      <c r="E136" s="5">
        <v>64.62264251708984</v>
      </c>
      <c r="F136" s="5">
        <v>51.41509246826172</v>
      </c>
      <c r="G136" s="5">
        <v>66.17646789550781</v>
      </c>
      <c r="H136" s="5">
        <v>59.58562787373861</v>
      </c>
    </row>
    <row r="137" ht="15.75" customHeight="1">
      <c r="A137" s="5" t="s">
        <v>217</v>
      </c>
      <c r="B137" s="5">
        <v>69.81131744384766</v>
      </c>
      <c r="C137" s="5">
        <v>48.58490753173828</v>
      </c>
      <c r="D137" s="5">
        <v>82.93838500976562</v>
      </c>
      <c r="E137" s="5">
        <v>53.30188751220703</v>
      </c>
      <c r="F137" s="5">
        <v>52.35848999023438</v>
      </c>
      <c r="G137" s="5">
        <v>68.62744903564453</v>
      </c>
      <c r="H137" s="5">
        <v>62.60373942057291</v>
      </c>
    </row>
    <row r="138" ht="15.75" customHeight="1">
      <c r="A138" s="5" t="s">
        <v>111</v>
      </c>
      <c r="B138" s="5">
        <v>33.96226501464844</v>
      </c>
      <c r="C138" s="5">
        <v>21.69811248779297</v>
      </c>
      <c r="D138" s="5">
        <v>39.33649444580078</v>
      </c>
      <c r="E138" s="5">
        <v>34.90565872192383</v>
      </c>
      <c r="F138" s="5">
        <v>27.35848999023438</v>
      </c>
      <c r="G138" s="5">
        <v>46.07843017578125</v>
      </c>
      <c r="H138" s="5">
        <v>33.88990847269694</v>
      </c>
    </row>
    <row r="139" ht="15.75" customHeight="1">
      <c r="A139" s="5" t="s">
        <v>20</v>
      </c>
      <c r="B139" s="5">
        <v>96.2264175415039</v>
      </c>
      <c r="C139" s="5">
        <v>95.75471496582031</v>
      </c>
      <c r="D139" s="5">
        <v>68.72038269042969</v>
      </c>
      <c r="E139" s="5">
        <v>94.3396224975586</v>
      </c>
      <c r="F139" s="5">
        <v>97.16981506347656</v>
      </c>
      <c r="G139" s="5">
        <v>96.5686264038086</v>
      </c>
      <c r="H139" s="5">
        <v>91.46326319376628</v>
      </c>
    </row>
    <row r="140" ht="15.75" customHeight="1">
      <c r="A140" s="5" t="s">
        <v>218</v>
      </c>
    </row>
    <row r="141" ht="15.75" customHeight="1">
      <c r="A141" s="5" t="s">
        <v>24</v>
      </c>
      <c r="B141" s="5">
        <v>98.58490753173828</v>
      </c>
      <c r="C141" s="5">
        <v>92.45282745361328</v>
      </c>
      <c r="D141" s="5">
        <v>96.20853424072266</v>
      </c>
      <c r="E141" s="5">
        <v>95.75471496582031</v>
      </c>
      <c r="F141" s="5">
        <v>98.58490753173828</v>
      </c>
      <c r="G141" s="5">
        <v>99.50980377197266</v>
      </c>
      <c r="H141" s="5">
        <v>96.8492825826009</v>
      </c>
    </row>
    <row r="142" ht="15.75" customHeight="1">
      <c r="A142" s="5" t="s">
        <v>131</v>
      </c>
      <c r="B142" s="5">
        <v>7.075471878051758</v>
      </c>
      <c r="C142" s="5">
        <v>13.20754718780518</v>
      </c>
      <c r="D142" s="5">
        <v>42.18009567260742</v>
      </c>
      <c r="E142" s="5">
        <v>9.433961868286133</v>
      </c>
      <c r="F142" s="5">
        <v>20.28301811218262</v>
      </c>
      <c r="G142" s="5">
        <v>10.29411792755127</v>
      </c>
      <c r="H142" s="5">
        <v>17.07903544108073</v>
      </c>
    </row>
    <row r="143" ht="15.75" customHeight="1">
      <c r="A143" s="5" t="s">
        <v>219</v>
      </c>
      <c r="B143" s="5">
        <v>31.60377311706543</v>
      </c>
      <c r="C143" s="5">
        <v>28.77358436584473</v>
      </c>
      <c r="D143" s="5">
        <v>8.530805587768555</v>
      </c>
      <c r="E143" s="5">
        <v>25.0</v>
      </c>
      <c r="F143" s="5">
        <v>20.75471687316895</v>
      </c>
      <c r="G143" s="5">
        <v>29.9019603729248</v>
      </c>
      <c r="H143" s="5">
        <v>24.09414005279541</v>
      </c>
    </row>
    <row r="144" ht="15.75" customHeight="1">
      <c r="A144" s="5" t="s">
        <v>117</v>
      </c>
      <c r="B144" s="5">
        <v>16.98113250732422</v>
      </c>
      <c r="C144" s="5">
        <v>20.28301811218262</v>
      </c>
      <c r="D144" s="5">
        <v>7.582938194274902</v>
      </c>
      <c r="E144" s="5">
        <v>20.28301811218262</v>
      </c>
      <c r="F144" s="5">
        <v>16.98113250732422</v>
      </c>
      <c r="G144" s="5">
        <v>32.35293960571289</v>
      </c>
      <c r="H144" s="5">
        <v>19.07736317316691</v>
      </c>
    </row>
    <row r="145" ht="15.75" customHeight="1">
      <c r="A145" s="5" t="s">
        <v>220</v>
      </c>
      <c r="B145" s="5">
        <v>49.05660247802734</v>
      </c>
      <c r="C145" s="5">
        <v>83.96226501464844</v>
      </c>
      <c r="E145" s="5">
        <v>31.13207626342773</v>
      </c>
      <c r="F145" s="5">
        <v>55.18867874145508</v>
      </c>
      <c r="H145" s="5">
        <v>54.83490562438965</v>
      </c>
    </row>
    <row r="146" ht="15.75" customHeight="1">
      <c r="A146" s="5" t="s">
        <v>77</v>
      </c>
      <c r="B146" s="5">
        <v>42.45283126831055</v>
      </c>
      <c r="C146" s="5">
        <v>49.05660247802734</v>
      </c>
      <c r="D146" s="5">
        <v>51.18483352661133</v>
      </c>
      <c r="E146" s="5">
        <v>45.28302001953125</v>
      </c>
      <c r="F146" s="5">
        <v>66.03773498535156</v>
      </c>
      <c r="G146" s="5">
        <v>53.43137359619141</v>
      </c>
      <c r="H146" s="5">
        <v>51.24106597900391</v>
      </c>
    </row>
    <row r="147" ht="15.75" customHeight="1">
      <c r="A147" s="5" t="s">
        <v>21</v>
      </c>
      <c r="B147" s="5">
        <v>99.05660247802734</v>
      </c>
      <c r="C147" s="5">
        <v>97.64151000976562</v>
      </c>
      <c r="D147" s="5">
        <v>77.7251205444336</v>
      </c>
      <c r="E147" s="5">
        <v>99.05660247802734</v>
      </c>
      <c r="F147" s="5">
        <v>93.39622497558594</v>
      </c>
      <c r="G147" s="5">
        <v>100.0</v>
      </c>
      <c r="H147" s="5">
        <v>94.47934341430664</v>
      </c>
    </row>
    <row r="148" ht="15.75" customHeight="1">
      <c r="A148" s="5" t="s">
        <v>41</v>
      </c>
      <c r="B148" s="5">
        <v>60.84905624389648</v>
      </c>
      <c r="C148" s="5">
        <v>62.26415252685547</v>
      </c>
      <c r="D148" s="5">
        <v>65.87677764892578</v>
      </c>
      <c r="E148" s="5">
        <v>70.28302001953125</v>
      </c>
      <c r="F148" s="5">
        <v>66.50943756103516</v>
      </c>
      <c r="G148" s="5">
        <v>21.07843208312988</v>
      </c>
      <c r="H148" s="5">
        <v>57.81014601389567</v>
      </c>
    </row>
    <row r="149" ht="15.75" customHeight="1">
      <c r="A149" s="5" t="s">
        <v>114</v>
      </c>
      <c r="B149" s="5">
        <v>18.86792373657227</v>
      </c>
      <c r="C149" s="5">
        <v>30.66037750244141</v>
      </c>
      <c r="D149" s="5">
        <v>6.635071277618408</v>
      </c>
      <c r="E149" s="5">
        <v>21.22641563415527</v>
      </c>
      <c r="F149" s="5">
        <v>19.81132125854492</v>
      </c>
      <c r="G149" s="5">
        <v>23.03921508789062</v>
      </c>
      <c r="H149" s="5">
        <v>20.04005408287048</v>
      </c>
    </row>
    <row r="150" ht="15.75" customHeight="1">
      <c r="A150" s="5" t="s">
        <v>221</v>
      </c>
      <c r="B150" s="5">
        <v>69.81131744384766</v>
      </c>
      <c r="C150" s="5">
        <v>67.45282745361328</v>
      </c>
      <c r="D150" s="5">
        <v>89.5734634399414</v>
      </c>
      <c r="E150" s="5">
        <v>80.6603775024414</v>
      </c>
      <c r="F150" s="5">
        <v>65.0943374633789</v>
      </c>
      <c r="G150" s="5">
        <v>83.82353210449219</v>
      </c>
      <c r="H150" s="5">
        <v>76.06930923461914</v>
      </c>
    </row>
    <row r="151" ht="15.75" customHeight="1">
      <c r="A151" s="5" t="s">
        <v>66</v>
      </c>
      <c r="B151" s="5">
        <v>28.30188751220703</v>
      </c>
      <c r="C151" s="5">
        <v>42.92453002929688</v>
      </c>
      <c r="D151" s="5">
        <v>52.60663604736328</v>
      </c>
      <c r="E151" s="5">
        <v>40.09434127807617</v>
      </c>
      <c r="F151" s="5">
        <v>55.66037750244141</v>
      </c>
      <c r="G151" s="5">
        <v>64.21568298339844</v>
      </c>
      <c r="H151" s="5">
        <v>47.30057589213053</v>
      </c>
    </row>
    <row r="152" ht="15.75" customHeight="1">
      <c r="A152" s="5" t="s">
        <v>159</v>
      </c>
      <c r="B152" s="5">
        <v>27.35848999023438</v>
      </c>
      <c r="C152" s="5">
        <v>22.1698112487793</v>
      </c>
      <c r="D152" s="5">
        <v>27.01421737670898</v>
      </c>
      <c r="E152" s="5">
        <v>29.71698188781738</v>
      </c>
      <c r="F152" s="5">
        <v>27.8301887512207</v>
      </c>
      <c r="G152" s="5">
        <v>47.05882263183594</v>
      </c>
      <c r="H152" s="5">
        <v>30.19141864776611</v>
      </c>
    </row>
    <row r="153" ht="15.75" customHeight="1">
      <c r="A153" s="5" t="s">
        <v>100</v>
      </c>
      <c r="B153" s="5">
        <v>16.03773498535156</v>
      </c>
      <c r="C153" s="5">
        <v>34.43396377563477</v>
      </c>
      <c r="D153" s="5">
        <v>49.28910064697266</v>
      </c>
      <c r="E153" s="5">
        <v>28.77358436584473</v>
      </c>
      <c r="F153" s="5">
        <v>50.47169876098633</v>
      </c>
      <c r="G153" s="5">
        <v>48.52941131591797</v>
      </c>
      <c r="H153" s="5">
        <v>37.92258230845133</v>
      </c>
    </row>
    <row r="154" ht="15.75" customHeight="1">
      <c r="A154" s="5" t="s">
        <v>87</v>
      </c>
      <c r="B154" s="5">
        <v>25.47169876098633</v>
      </c>
      <c r="C154" s="5">
        <v>33.01886749267578</v>
      </c>
      <c r="D154" s="5">
        <v>24.17061614990234</v>
      </c>
      <c r="E154" s="5">
        <v>30.18867874145508</v>
      </c>
      <c r="F154" s="5">
        <v>60.37735748291016</v>
      </c>
      <c r="G154" s="5">
        <v>49.50980377197266</v>
      </c>
      <c r="H154" s="5">
        <v>37.12283706665039</v>
      </c>
    </row>
    <row r="155" ht="15.75" customHeight="1">
      <c r="A155" s="5" t="s">
        <v>101</v>
      </c>
      <c r="B155" s="5">
        <v>32.54716873168945</v>
      </c>
      <c r="C155" s="5">
        <v>58.01886749267578</v>
      </c>
      <c r="D155" s="5">
        <v>23.69668197631836</v>
      </c>
      <c r="E155" s="5">
        <v>37.26415252685547</v>
      </c>
      <c r="F155" s="5">
        <v>57.54716873168945</v>
      </c>
      <c r="G155" s="5">
        <v>46.56862640380859</v>
      </c>
      <c r="H155" s="5">
        <v>42.60711097717285</v>
      </c>
    </row>
    <row r="156" ht="15.75" customHeight="1">
      <c r="A156" s="5" t="s">
        <v>49</v>
      </c>
      <c r="B156" s="5">
        <v>68.86792755126953</v>
      </c>
      <c r="C156" s="5">
        <v>66.50943756103516</v>
      </c>
      <c r="D156" s="5">
        <v>63.98104095458984</v>
      </c>
      <c r="E156" s="5">
        <v>65.0943374633789</v>
      </c>
      <c r="F156" s="5">
        <v>76.41509246826172</v>
      </c>
      <c r="G156" s="5">
        <v>67.64705657958984</v>
      </c>
      <c r="H156" s="5">
        <v>68.0858154296875</v>
      </c>
    </row>
    <row r="157" ht="15.75" customHeight="1">
      <c r="A157" s="5" t="s">
        <v>56</v>
      </c>
      <c r="B157" s="5">
        <v>74.05660247802734</v>
      </c>
      <c r="C157" s="5">
        <v>80.18868255615234</v>
      </c>
      <c r="D157" s="5">
        <v>70.6161117553711</v>
      </c>
      <c r="E157" s="5">
        <v>83.49056243896484</v>
      </c>
      <c r="F157" s="5">
        <v>75.47169494628906</v>
      </c>
      <c r="G157" s="5">
        <v>88.23529052734375</v>
      </c>
      <c r="H157" s="5">
        <v>78.6764907836914</v>
      </c>
    </row>
    <row r="158" ht="15.75" customHeight="1">
      <c r="A158" s="5" t="s">
        <v>38</v>
      </c>
      <c r="B158" s="5">
        <v>55.18867874145508</v>
      </c>
      <c r="C158" s="5">
        <v>35.84905624389648</v>
      </c>
      <c r="D158" s="5">
        <v>61.1374397277832</v>
      </c>
      <c r="E158" s="5">
        <v>66.50943756103516</v>
      </c>
      <c r="F158" s="5">
        <v>71.69811248779297</v>
      </c>
      <c r="G158" s="5">
        <v>61.76470565795898</v>
      </c>
      <c r="H158" s="5">
        <v>58.69123840332031</v>
      </c>
    </row>
    <row r="159" ht="15.75" customHeight="1">
      <c r="A159" s="5" t="s">
        <v>26</v>
      </c>
      <c r="B159" s="5">
        <v>75.0</v>
      </c>
      <c r="C159" s="5">
        <v>85.84906005859375</v>
      </c>
      <c r="D159" s="5">
        <v>84.36019134521484</v>
      </c>
      <c r="E159" s="5">
        <v>80.18868255615234</v>
      </c>
      <c r="F159" s="5">
        <v>81.13207244873047</v>
      </c>
      <c r="G159" s="5">
        <v>22.54901885986328</v>
      </c>
      <c r="H159" s="5">
        <v>71.51317087809245</v>
      </c>
    </row>
    <row r="160" ht="15.75" customHeight="1">
      <c r="A160" s="5" t="s">
        <v>60</v>
      </c>
      <c r="B160" s="5">
        <v>56.13207626342773</v>
      </c>
      <c r="C160" s="5">
        <v>46.69811248779297</v>
      </c>
      <c r="D160" s="5">
        <v>56.39810562133789</v>
      </c>
      <c r="E160" s="5">
        <v>64.15093994140625</v>
      </c>
      <c r="F160" s="5">
        <v>63.20754623413086</v>
      </c>
      <c r="G160" s="5">
        <v>62.25490188598633</v>
      </c>
      <c r="H160" s="5">
        <v>58.14028040568034</v>
      </c>
    </row>
    <row r="161" ht="15.75" customHeight="1">
      <c r="A161" s="5" t="s">
        <v>72</v>
      </c>
      <c r="B161" s="5">
        <v>15.56603813171387</v>
      </c>
      <c r="C161" s="5">
        <v>26.41509437561035</v>
      </c>
      <c r="D161" s="5">
        <v>13.27014255523682</v>
      </c>
      <c r="E161" s="5">
        <v>12.26415061950684</v>
      </c>
      <c r="F161" s="5">
        <v>12.73584938049316</v>
      </c>
      <c r="G161" s="5">
        <v>13.23529434204102</v>
      </c>
      <c r="H161" s="5">
        <v>15.58109490076701</v>
      </c>
    </row>
    <row r="162" ht="15.75" customHeight="1">
      <c r="A162" s="5" t="s">
        <v>122</v>
      </c>
      <c r="B162" s="5">
        <v>73.11320495605469</v>
      </c>
      <c r="C162" s="5">
        <v>65.0943374633789</v>
      </c>
      <c r="D162" s="5">
        <v>49.76303482055664</v>
      </c>
      <c r="E162" s="5">
        <v>56.60377502441406</v>
      </c>
      <c r="F162" s="5">
        <v>56.13207626342773</v>
      </c>
      <c r="G162" s="5">
        <v>24.50980377197266</v>
      </c>
      <c r="H162" s="5">
        <v>54.20270538330078</v>
      </c>
    </row>
    <row r="163" ht="15.75" customHeight="1">
      <c r="A163" s="5" t="s">
        <v>222</v>
      </c>
      <c r="B163" s="5">
        <v>70.75471496582031</v>
      </c>
      <c r="C163" s="5">
        <v>73.11320495605469</v>
      </c>
      <c r="D163" s="5">
        <v>48.34123229980469</v>
      </c>
      <c r="E163" s="5">
        <v>75.0</v>
      </c>
      <c r="F163" s="5">
        <v>79.24528503417969</v>
      </c>
      <c r="H163" s="5">
        <v>69.29088745117187</v>
      </c>
    </row>
    <row r="164" ht="15.75" customHeight="1">
      <c r="A164" s="5" t="s">
        <v>223</v>
      </c>
      <c r="B164" s="5">
        <v>75.94339752197266</v>
      </c>
      <c r="C164" s="5">
        <v>68.86792755126953</v>
      </c>
      <c r="D164" s="5">
        <v>90.52132415771484</v>
      </c>
      <c r="E164" s="5">
        <v>79.71697998046875</v>
      </c>
      <c r="F164" s="5">
        <v>42.92453002929688</v>
      </c>
      <c r="G164" s="5">
        <v>80.88235473632812</v>
      </c>
      <c r="H164" s="5">
        <v>73.14275232950847</v>
      </c>
    </row>
    <row r="165" ht="15.75" customHeight="1">
      <c r="A165" s="5" t="s">
        <v>224</v>
      </c>
      <c r="B165" s="5">
        <v>87.73584747314453</v>
      </c>
      <c r="C165" s="5">
        <v>87.26415252685547</v>
      </c>
      <c r="D165" s="5">
        <v>93.36492919921875</v>
      </c>
      <c r="E165" s="5">
        <v>91.50943756103516</v>
      </c>
      <c r="F165" s="5">
        <v>79.24528503417969</v>
      </c>
      <c r="G165" s="5">
        <v>89.70587921142578</v>
      </c>
      <c r="H165" s="5">
        <v>88.13758850097656</v>
      </c>
    </row>
    <row r="166" ht="15.75" customHeight="1">
      <c r="A166" s="5" t="s">
        <v>39</v>
      </c>
      <c r="B166" s="5">
        <v>66.50943756103516</v>
      </c>
      <c r="C166" s="5">
        <v>78.7735824584961</v>
      </c>
      <c r="D166" s="5">
        <v>39.8104248046875</v>
      </c>
      <c r="E166" s="5">
        <v>62.73584747314453</v>
      </c>
      <c r="F166" s="5">
        <v>68.86792755126953</v>
      </c>
      <c r="G166" s="5">
        <v>8.823529243469238</v>
      </c>
      <c r="H166" s="5">
        <v>54.25345818201701</v>
      </c>
    </row>
    <row r="167" ht="15.75" customHeight="1">
      <c r="A167" s="5" t="s">
        <v>225</v>
      </c>
      <c r="B167" s="5">
        <v>56.60377502441406</v>
      </c>
      <c r="C167" s="5">
        <v>54.24528121948242</v>
      </c>
      <c r="D167" s="5">
        <v>41.23222732543945</v>
      </c>
      <c r="E167" s="5">
        <v>42.92453002929688</v>
      </c>
      <c r="F167" s="5">
        <v>39.15094375610352</v>
      </c>
      <c r="G167" s="5">
        <v>51.96078491210938</v>
      </c>
      <c r="H167" s="5">
        <v>47.68625704447428</v>
      </c>
    </row>
    <row r="168" ht="15.75" customHeight="1">
      <c r="A168" s="5" t="s">
        <v>69</v>
      </c>
      <c r="B168" s="5">
        <v>38.20754623413086</v>
      </c>
      <c r="C168" s="5">
        <v>51.88679122924805</v>
      </c>
      <c r="D168" s="5">
        <v>44.54976272583008</v>
      </c>
      <c r="E168" s="5">
        <v>51.41509246826172</v>
      </c>
      <c r="F168" s="5">
        <v>56.60377502441406</v>
      </c>
      <c r="G168" s="5">
        <v>44.60784149169922</v>
      </c>
      <c r="H168" s="5">
        <v>47.87846819559733</v>
      </c>
    </row>
    <row r="169" ht="15.75" customHeight="1">
      <c r="A169" s="5" t="s">
        <v>226</v>
      </c>
      <c r="B169" s="5">
        <v>93.86792755126953</v>
      </c>
      <c r="C169" s="5">
        <v>70.75471496582031</v>
      </c>
      <c r="D169" s="5">
        <v>73.93364715576172</v>
      </c>
      <c r="E169" s="5">
        <v>63.67924499511719</v>
      </c>
      <c r="F169" s="5">
        <v>58.96226501464844</v>
      </c>
      <c r="G169" s="5">
        <v>64.70587921142578</v>
      </c>
      <c r="H169" s="5">
        <v>70.9839464823405</v>
      </c>
    </row>
    <row r="170" ht="15.75" customHeight="1">
      <c r="A170" s="5" t="s">
        <v>227</v>
      </c>
      <c r="B170" s="5">
        <v>31.13207626342773</v>
      </c>
      <c r="C170" s="5">
        <v>12.26415061950684</v>
      </c>
      <c r="D170" s="5">
        <v>37.44075775146484</v>
      </c>
      <c r="E170" s="5">
        <v>22.1698112487793</v>
      </c>
      <c r="F170" s="5">
        <v>13.67924499511719</v>
      </c>
      <c r="G170" s="5">
        <v>38.72549057006836</v>
      </c>
      <c r="H170" s="5">
        <v>25.90192190806071</v>
      </c>
    </row>
    <row r="171" ht="15.75" customHeight="1">
      <c r="A171" s="5" t="s">
        <v>15</v>
      </c>
      <c r="B171" s="5">
        <v>98.11320495605469</v>
      </c>
      <c r="C171" s="5">
        <v>100.0</v>
      </c>
      <c r="D171" s="5">
        <v>97.1563949584961</v>
      </c>
      <c r="E171" s="5">
        <v>98.11320495605469</v>
      </c>
      <c r="F171" s="5">
        <v>100.0</v>
      </c>
      <c r="G171" s="5">
        <v>43.6274528503418</v>
      </c>
      <c r="H171" s="5">
        <v>89.50170962015788</v>
      </c>
    </row>
    <row r="172" ht="15.75" customHeight="1">
      <c r="A172" s="5" t="s">
        <v>54</v>
      </c>
      <c r="B172" s="5">
        <v>61.32075500488281</v>
      </c>
      <c r="C172" s="5">
        <v>58.96226501464844</v>
      </c>
      <c r="D172" s="5">
        <v>64.4549789428711</v>
      </c>
      <c r="E172" s="5">
        <v>68.86792755126953</v>
      </c>
      <c r="F172" s="5">
        <v>71.2264175415039</v>
      </c>
      <c r="G172" s="5">
        <v>76.47058868408203</v>
      </c>
      <c r="H172" s="5">
        <v>66.88382212320964</v>
      </c>
    </row>
    <row r="173" ht="15.75" customHeight="1">
      <c r="A173" s="5" t="s">
        <v>46</v>
      </c>
      <c r="B173" s="5">
        <v>77.35848999023438</v>
      </c>
      <c r="C173" s="5">
        <v>81.13207244873047</v>
      </c>
      <c r="D173" s="5">
        <v>75.82938385009766</v>
      </c>
      <c r="E173" s="5">
        <v>82.54717254638672</v>
      </c>
      <c r="F173" s="5">
        <v>75.0</v>
      </c>
      <c r="G173" s="5">
        <v>82.8431396484375</v>
      </c>
      <c r="H173" s="5">
        <v>79.11837641398112</v>
      </c>
    </row>
    <row r="174" ht="15.75" customHeight="1">
      <c r="A174" s="5" t="s">
        <v>228</v>
      </c>
      <c r="B174" s="5">
        <v>50.47169876098633</v>
      </c>
      <c r="C174" s="5">
        <v>25.0</v>
      </c>
      <c r="D174" s="5">
        <v>60.66350555419922</v>
      </c>
      <c r="E174" s="5">
        <v>43.39622497558594</v>
      </c>
      <c r="F174" s="5">
        <v>21.69811248779297</v>
      </c>
      <c r="G174" s="5">
        <v>57.84313583374023</v>
      </c>
      <c r="H174" s="5">
        <v>43.17877960205078</v>
      </c>
    </row>
    <row r="175" ht="15.75" customHeight="1">
      <c r="A175" s="5" t="s">
        <v>149</v>
      </c>
      <c r="B175" s="5">
        <v>0.9433962106704712</v>
      </c>
      <c r="C175" s="5">
        <v>1.886792421340942</v>
      </c>
      <c r="D175" s="5">
        <v>2.843601942062378</v>
      </c>
      <c r="E175" s="5">
        <v>0.0</v>
      </c>
      <c r="F175" s="5">
        <v>2.830188751220703</v>
      </c>
      <c r="G175" s="5">
        <v>4.411764621734619</v>
      </c>
      <c r="H175" s="5">
        <v>2.152623991171519</v>
      </c>
    </row>
    <row r="176" ht="15.75" customHeight="1">
      <c r="A176" s="5" t="s">
        <v>53</v>
      </c>
      <c r="B176" s="5">
        <v>45.75471878051758</v>
      </c>
      <c r="C176" s="5">
        <v>40.56603622436523</v>
      </c>
      <c r="D176" s="5">
        <v>20.85308074951172</v>
      </c>
      <c r="E176" s="5">
        <v>54.24528121948242</v>
      </c>
      <c r="F176" s="5">
        <v>44.33962249755859</v>
      </c>
      <c r="G176" s="5">
        <v>70.5882339477539</v>
      </c>
      <c r="H176" s="5">
        <v>46.05782890319824</v>
      </c>
    </row>
    <row r="177" ht="15.75" customHeight="1">
      <c r="A177" s="5" t="s">
        <v>229</v>
      </c>
      <c r="B177" s="5">
        <v>0.0</v>
      </c>
      <c r="C177" s="5">
        <v>0.0</v>
      </c>
      <c r="D177" s="5">
        <v>3.791469097137451</v>
      </c>
      <c r="E177" s="5">
        <v>0.9433962106704712</v>
      </c>
      <c r="F177" s="5">
        <v>0.9433962106704712</v>
      </c>
      <c r="G177" s="5">
        <v>2.941176414489746</v>
      </c>
      <c r="H177" s="5">
        <v>1.436572988828023</v>
      </c>
    </row>
    <row r="178" ht="15.75" customHeight="1">
      <c r="A178" s="5" t="s">
        <v>42</v>
      </c>
      <c r="B178" s="5">
        <v>71.69811248779297</v>
      </c>
      <c r="C178" s="5">
        <v>76.88679504394531</v>
      </c>
      <c r="D178" s="5">
        <v>54.97630310058594</v>
      </c>
      <c r="E178" s="5">
        <v>78.30188751220703</v>
      </c>
      <c r="F178" s="5">
        <v>74.52830505371094</v>
      </c>
      <c r="G178" s="5">
        <v>87.7450942993164</v>
      </c>
      <c r="H178" s="5">
        <v>74.02274958292644</v>
      </c>
    </row>
    <row r="179" ht="15.75" customHeight="1">
      <c r="A179" s="5" t="s">
        <v>112</v>
      </c>
      <c r="B179" s="5">
        <v>40.09434127807617</v>
      </c>
      <c r="C179" s="5">
        <v>41.03773498535156</v>
      </c>
      <c r="D179" s="5">
        <v>25.59241676330566</v>
      </c>
      <c r="E179" s="5">
        <v>50.0</v>
      </c>
      <c r="F179" s="5">
        <v>33.01886749267578</v>
      </c>
      <c r="G179" s="5">
        <v>39.70588302612305</v>
      </c>
      <c r="H179" s="5">
        <v>38.24154059092204</v>
      </c>
    </row>
    <row r="180" ht="15.75" customHeight="1">
      <c r="A180" s="5" t="s">
        <v>230</v>
      </c>
      <c r="B180" s="5">
        <v>64.62264251708984</v>
      </c>
      <c r="C180" s="5">
        <v>63.67924499511719</v>
      </c>
      <c r="D180" s="5">
        <v>80.56871795654297</v>
      </c>
      <c r="E180" s="5">
        <v>66.03773498535156</v>
      </c>
      <c r="F180" s="5">
        <v>69.3396224975586</v>
      </c>
      <c r="G180" s="5">
        <v>72.05882263183594</v>
      </c>
      <c r="H180" s="5">
        <v>69.38446426391602</v>
      </c>
    </row>
    <row r="181" ht="15.75" customHeight="1">
      <c r="A181" s="5" t="s">
        <v>231</v>
      </c>
      <c r="B181" s="5">
        <v>66.98113250732422</v>
      </c>
      <c r="C181" s="5">
        <v>55.66037750244141</v>
      </c>
      <c r="D181" s="5">
        <v>86.25592041015625</v>
      </c>
      <c r="E181" s="5">
        <v>69.81131744384766</v>
      </c>
      <c r="F181" s="5">
        <v>64.62264251708984</v>
      </c>
      <c r="G181" s="5">
        <v>74.50980377197266</v>
      </c>
      <c r="H181" s="5">
        <v>69.640199025472</v>
      </c>
    </row>
    <row r="182" ht="15.75" customHeight="1">
      <c r="A182" s="5" t="s">
        <v>232</v>
      </c>
      <c r="B182" s="5">
        <v>76.41509246826172</v>
      </c>
      <c r="C182" s="5">
        <v>55.66037750244141</v>
      </c>
      <c r="D182" s="5">
        <v>86.25592041015625</v>
      </c>
      <c r="E182" s="5">
        <v>67.92453002929688</v>
      </c>
      <c r="F182" s="5">
        <v>62.26415252685547</v>
      </c>
      <c r="G182" s="5">
        <v>73.03921508789062</v>
      </c>
      <c r="H182" s="5">
        <v>70.25988133748372</v>
      </c>
    </row>
    <row r="183" ht="15.75" customHeight="1">
      <c r="A183" s="5" t="s">
        <v>128</v>
      </c>
      <c r="B183" s="5">
        <v>4.245283126831055</v>
      </c>
      <c r="C183" s="5">
        <v>2.358490467071533</v>
      </c>
      <c r="D183" s="5">
        <v>1.895734548568726</v>
      </c>
      <c r="E183" s="5">
        <v>4.245283126831055</v>
      </c>
      <c r="F183" s="5">
        <v>4.716980934143066</v>
      </c>
      <c r="G183" s="5">
        <v>5.882352828979492</v>
      </c>
      <c r="H183" s="5">
        <v>3.890687505404154</v>
      </c>
    </row>
    <row r="184" ht="15.75" customHeight="1">
      <c r="A184" s="5" t="s">
        <v>233</v>
      </c>
      <c r="B184" s="5">
        <v>39.15094375610352</v>
      </c>
      <c r="C184" s="5">
        <v>16.03773498535156</v>
      </c>
      <c r="D184" s="5">
        <v>59.71564102172852</v>
      </c>
      <c r="E184" s="5">
        <v>51.88679122924805</v>
      </c>
      <c r="F184" s="5">
        <v>23.11320686340332</v>
      </c>
      <c r="G184" s="5">
        <v>58.82352828979492</v>
      </c>
      <c r="H184" s="5">
        <v>41.45464102427164</v>
      </c>
    </row>
    <row r="185" ht="15.75" customHeight="1">
      <c r="A185" s="5" t="s">
        <v>29</v>
      </c>
      <c r="B185" s="5">
        <v>97.64151000976562</v>
      </c>
      <c r="C185" s="5">
        <v>94.81131744384766</v>
      </c>
      <c r="D185" s="5">
        <v>73.459716796875</v>
      </c>
      <c r="E185" s="5">
        <v>93.39622497558594</v>
      </c>
      <c r="F185" s="5">
        <v>95.28302001953125</v>
      </c>
      <c r="G185" s="5">
        <v>97.05882263183594</v>
      </c>
      <c r="H185" s="5">
        <v>91.94176864624023</v>
      </c>
    </row>
    <row r="186" ht="15.75" customHeight="1">
      <c r="A186" s="5" t="s">
        <v>12</v>
      </c>
      <c r="B186" s="5">
        <v>97.16981506347656</v>
      </c>
      <c r="C186" s="5">
        <v>99.52830505371094</v>
      </c>
      <c r="D186" s="5">
        <v>88.62559509277344</v>
      </c>
      <c r="E186" s="5">
        <v>98.58490753173828</v>
      </c>
      <c r="F186" s="5">
        <v>95.75471496582031</v>
      </c>
      <c r="G186" s="5">
        <v>99.01960754394531</v>
      </c>
      <c r="H186" s="5">
        <v>96.44715754191081</v>
      </c>
    </row>
    <row r="187" ht="15.75" customHeight="1">
      <c r="A187" s="5" t="s">
        <v>234</v>
      </c>
      <c r="B187" s="5">
        <v>0.4716981053352356</v>
      </c>
      <c r="C187" s="5">
        <v>3.301886796951294</v>
      </c>
      <c r="D187" s="5">
        <v>0.0</v>
      </c>
      <c r="E187" s="5">
        <v>1.415094375610352</v>
      </c>
      <c r="F187" s="5">
        <v>3.773584842681885</v>
      </c>
      <c r="G187" s="5">
        <v>1.470588207244873</v>
      </c>
      <c r="H187" s="5">
        <v>1.73880872130394</v>
      </c>
    </row>
    <row r="188" ht="15.75" customHeight="1">
      <c r="A188" s="5" t="s">
        <v>235</v>
      </c>
      <c r="B188" s="5">
        <v>63.20754623413086</v>
      </c>
      <c r="C188" s="5">
        <v>17.92452812194824</v>
      </c>
      <c r="D188" s="5">
        <v>60.1895751953125</v>
      </c>
      <c r="E188" s="5">
        <v>25.47169876098633</v>
      </c>
      <c r="F188" s="5">
        <v>16.50943374633789</v>
      </c>
      <c r="G188" s="5">
        <v>56.86274337768555</v>
      </c>
      <c r="H188" s="5">
        <v>40.02758757273356</v>
      </c>
    </row>
    <row r="189" ht="15.75" customHeight="1">
      <c r="A189" s="5" t="s">
        <v>48</v>
      </c>
      <c r="B189" s="5">
        <v>84.4339599609375</v>
      </c>
      <c r="C189" s="5">
        <v>91.50943756103516</v>
      </c>
      <c r="D189" s="5">
        <v>74.40758514404297</v>
      </c>
      <c r="E189" s="5">
        <v>86.32075500488281</v>
      </c>
      <c r="F189" s="5">
        <v>91.50943756103516</v>
      </c>
      <c r="G189" s="5">
        <v>84.80392456054688</v>
      </c>
      <c r="H189" s="5">
        <v>85.49751663208008</v>
      </c>
    </row>
    <row r="190" ht="15.75" customHeight="1">
      <c r="A190" s="5" t="s">
        <v>236</v>
      </c>
      <c r="B190" s="5">
        <v>7.54716968536377</v>
      </c>
      <c r="C190" s="5">
        <v>23.58490562438965</v>
      </c>
      <c r="D190" s="5">
        <v>27.48815155029297</v>
      </c>
      <c r="E190" s="5">
        <v>9.905660629272461</v>
      </c>
      <c r="F190" s="5">
        <v>11.32075500488281</v>
      </c>
      <c r="G190" s="5">
        <v>4.901960849761963</v>
      </c>
      <c r="H190" s="5">
        <v>14.12476722399394</v>
      </c>
    </row>
    <row r="191" ht="15.75" customHeight="1">
      <c r="A191" s="5" t="s">
        <v>137</v>
      </c>
      <c r="B191" s="5">
        <v>43.86792373657227</v>
      </c>
      <c r="C191" s="5">
        <v>34.90565872192383</v>
      </c>
      <c r="D191" s="5">
        <v>44.07582855224609</v>
      </c>
      <c r="E191" s="5">
        <v>38.67924499511719</v>
      </c>
      <c r="F191" s="5">
        <v>30.18867874145508</v>
      </c>
      <c r="G191" s="5">
        <v>32.84313583374023</v>
      </c>
      <c r="H191" s="5">
        <v>37.42674509684245</v>
      </c>
    </row>
    <row r="192" ht="15.75" customHeight="1">
      <c r="A192" s="5" t="s">
        <v>81</v>
      </c>
      <c r="B192" s="5">
        <v>35.84905624389648</v>
      </c>
      <c r="C192" s="5">
        <v>58.49056625366211</v>
      </c>
      <c r="D192" s="5">
        <v>36.01895904541016</v>
      </c>
      <c r="E192" s="5">
        <v>57.54716873168945</v>
      </c>
      <c r="F192" s="5">
        <v>57.07546997070312</v>
      </c>
      <c r="G192" s="5">
        <v>35.7843132019043</v>
      </c>
      <c r="H192" s="5">
        <v>46.79425557454427</v>
      </c>
    </row>
    <row r="193" ht="15.75" customHeight="1">
      <c r="A193" s="5" t="s">
        <v>237</v>
      </c>
      <c r="B193" s="5">
        <v>47.64151000976562</v>
      </c>
      <c r="C193" s="5">
        <v>20.75471687316895</v>
      </c>
      <c r="D193" s="5">
        <v>54.50236892700195</v>
      </c>
      <c r="E193" s="5">
        <v>21.69811248779297</v>
      </c>
      <c r="F193" s="5">
        <v>34.43396377563477</v>
      </c>
      <c r="G193" s="5">
        <v>61.27450942993164</v>
      </c>
      <c r="H193" s="5">
        <v>40.05086358388265</v>
      </c>
    </row>
    <row r="194" ht="15.75" customHeight="1">
      <c r="A194" s="5" t="s">
        <v>238</v>
      </c>
      <c r="B194" s="5">
        <v>28.77358436584473</v>
      </c>
      <c r="C194" s="5">
        <v>30.18867874145508</v>
      </c>
      <c r="D194" s="5">
        <v>14.21800994873047</v>
      </c>
      <c r="E194" s="5">
        <v>32.07546997070312</v>
      </c>
      <c r="F194" s="5">
        <v>33.96226501464844</v>
      </c>
      <c r="G194" s="5">
        <v>26.47058868408203</v>
      </c>
      <c r="H194" s="5">
        <v>27.61476612091064</v>
      </c>
    </row>
    <row r="195" ht="15.75" customHeight="1">
      <c r="A195" s="5" t="s">
        <v>239</v>
      </c>
      <c r="B195" s="5">
        <v>45.28302001953125</v>
      </c>
      <c r="C195" s="5">
        <v>45.75471878051758</v>
      </c>
      <c r="D195" s="5">
        <v>90.04739379882812</v>
      </c>
      <c r="E195" s="5">
        <v>66.98113250732422</v>
      </c>
      <c r="F195" s="5">
        <v>37.26415252685547</v>
      </c>
      <c r="G195" s="5">
        <v>75.0</v>
      </c>
      <c r="H195" s="5">
        <v>60.05506960550944</v>
      </c>
    </row>
    <row r="196" ht="15.75" customHeight="1">
      <c r="A196" s="5" t="s">
        <v>240</v>
      </c>
      <c r="B196" s="5">
        <v>41.03773498535156</v>
      </c>
      <c r="C196" s="5">
        <v>49.52830123901367</v>
      </c>
      <c r="D196" s="5">
        <v>57.81990432739258</v>
      </c>
      <c r="E196" s="5">
        <v>42.45283126831055</v>
      </c>
      <c r="F196" s="5">
        <v>47.64151000976562</v>
      </c>
      <c r="G196" s="5">
        <v>67.1568603515625</v>
      </c>
      <c r="H196" s="5">
        <v>50.93952369689941</v>
      </c>
    </row>
    <row r="197" ht="15.75" customHeight="1">
      <c r="A197" s="5" t="s">
        <v>105</v>
      </c>
      <c r="B197" s="5">
        <v>42.92453002929688</v>
      </c>
      <c r="C197" s="5">
        <v>39.15094375610352</v>
      </c>
      <c r="D197" s="5">
        <v>22.27488136291504</v>
      </c>
      <c r="E197" s="5">
        <v>47.64151000976562</v>
      </c>
      <c r="F197" s="5">
        <v>28.77358436584473</v>
      </c>
      <c r="G197" s="5">
        <v>40.68627548217773</v>
      </c>
      <c r="H197" s="5">
        <v>36.90862083435059</v>
      </c>
    </row>
    <row r="198" ht="15.75" customHeight="1">
      <c r="A198" s="5" t="s">
        <v>241</v>
      </c>
      <c r="B198" s="5">
        <v>6.603773593902588</v>
      </c>
      <c r="C198" s="5">
        <v>10.84905624389648</v>
      </c>
      <c r="D198" s="5">
        <v>43.12796020507812</v>
      </c>
      <c r="E198" s="5">
        <v>6.603773593902588</v>
      </c>
      <c r="F198" s="5">
        <v>1.415094375610352</v>
      </c>
      <c r="G198" s="5">
        <v>0.4901960790157318</v>
      </c>
      <c r="H198" s="5">
        <v>11.51497568190098</v>
      </c>
    </row>
    <row r="199" ht="15.75" customHeight="1">
      <c r="A199" s="5" t="s">
        <v>242</v>
      </c>
      <c r="B199" s="5">
        <v>72.16981506347656</v>
      </c>
      <c r="C199" s="5">
        <v>35.37735748291016</v>
      </c>
      <c r="D199" s="5">
        <v>94.31279754638672</v>
      </c>
      <c r="E199" s="5">
        <v>82.07546997070312</v>
      </c>
      <c r="F199" s="5">
        <v>44.81132125854492</v>
      </c>
      <c r="G199" s="5">
        <v>89.21568298339844</v>
      </c>
      <c r="H199" s="5">
        <v>69.66040738423665</v>
      </c>
    </row>
    <row r="200" ht="15.75" customHeight="1">
      <c r="A200" s="5" t="s">
        <v>73</v>
      </c>
      <c r="B200" s="5">
        <v>34.90565872192383</v>
      </c>
      <c r="C200" s="5">
        <v>41.50943374633789</v>
      </c>
      <c r="D200" s="5">
        <v>13.74407577514648</v>
      </c>
      <c r="E200" s="5">
        <v>32.54716873168945</v>
      </c>
      <c r="F200" s="5">
        <v>43.86792373657227</v>
      </c>
      <c r="G200" s="5">
        <v>25.0</v>
      </c>
      <c r="H200" s="5">
        <v>31.92904345194499</v>
      </c>
    </row>
    <row r="201" ht="15.75" customHeight="1">
      <c r="A201" s="5" t="s">
        <v>115</v>
      </c>
      <c r="B201" s="5">
        <v>16.50943374633789</v>
      </c>
      <c r="C201" s="5">
        <v>31.60377311706543</v>
      </c>
      <c r="D201" s="5">
        <v>19.4312801361084</v>
      </c>
      <c r="E201" s="5">
        <v>34.43396377563477</v>
      </c>
      <c r="F201" s="5">
        <v>32.54716873168945</v>
      </c>
      <c r="G201" s="5">
        <v>29.41176414489746</v>
      </c>
      <c r="H201" s="5">
        <v>27.3228972752889</v>
      </c>
    </row>
    <row r="202" ht="15.75" customHeight="1">
      <c r="A202" s="5" t="s">
        <v>92</v>
      </c>
      <c r="B202" s="5">
        <v>25.94339561462402</v>
      </c>
      <c r="C202" s="5">
        <v>37.73584747314453</v>
      </c>
      <c r="D202" s="5">
        <v>10.90047359466553</v>
      </c>
      <c r="E202" s="5">
        <v>19.81132125854492</v>
      </c>
      <c r="F202" s="5">
        <v>43.39622497558594</v>
      </c>
      <c r="G202" s="5">
        <v>42.64706039428711</v>
      </c>
      <c r="H202" s="5">
        <v>30.07238721847534</v>
      </c>
    </row>
    <row r="203" ht="15.75" customHeight="1">
      <c r="A203" s="5" t="s">
        <v>23</v>
      </c>
      <c r="B203" s="5">
        <v>82.54717254638672</v>
      </c>
      <c r="C203" s="5">
        <v>95.28302001953125</v>
      </c>
      <c r="D203" s="5">
        <v>70.14218139648438</v>
      </c>
      <c r="E203" s="5">
        <v>78.7735824584961</v>
      </c>
      <c r="F203" s="5">
        <v>82.07546997070312</v>
      </c>
      <c r="G203" s="5">
        <v>18.62745094299316</v>
      </c>
      <c r="H203" s="5">
        <v>71.24147955576579</v>
      </c>
    </row>
    <row r="204" ht="15.75" customHeight="1">
      <c r="A204" s="5" t="s">
        <v>22</v>
      </c>
      <c r="B204" s="5">
        <v>90.5660400390625</v>
      </c>
      <c r="C204" s="5">
        <v>84.4339599609375</v>
      </c>
      <c r="D204" s="5">
        <v>62.08530807495117</v>
      </c>
      <c r="E204" s="5">
        <v>89.15093994140625</v>
      </c>
      <c r="F204" s="5">
        <v>92.92453002929688</v>
      </c>
      <c r="G204" s="5">
        <v>90.19607543945312</v>
      </c>
      <c r="H204" s="5">
        <v>84.89280891418457</v>
      </c>
    </row>
    <row r="205" ht="15.75" customHeight="1">
      <c r="A205" s="5" t="s">
        <v>14</v>
      </c>
      <c r="B205" s="5">
        <v>83.01886749267578</v>
      </c>
      <c r="C205" s="5">
        <v>87.73584747314453</v>
      </c>
      <c r="D205" s="5">
        <v>47.39336395263672</v>
      </c>
      <c r="E205" s="5">
        <v>88.67924499511719</v>
      </c>
      <c r="F205" s="5">
        <v>90.5660400390625</v>
      </c>
      <c r="G205" s="5">
        <v>75.49019622802734</v>
      </c>
      <c r="H205" s="5">
        <v>78.81392669677734</v>
      </c>
    </row>
    <row r="206" ht="15.75" customHeight="1">
      <c r="A206" s="5" t="s">
        <v>63</v>
      </c>
      <c r="B206" s="5">
        <v>92.45282745361328</v>
      </c>
      <c r="C206" s="5">
        <v>79.24528503417969</v>
      </c>
      <c r="D206" s="5">
        <v>81.99052429199219</v>
      </c>
      <c r="E206" s="5">
        <v>75.94339752197266</v>
      </c>
      <c r="F206" s="5">
        <v>73.58490753173828</v>
      </c>
      <c r="G206" s="5">
        <v>92.1568603515625</v>
      </c>
      <c r="H206" s="5">
        <v>82.56230036417644</v>
      </c>
    </row>
    <row r="207" ht="15.75" customHeight="1">
      <c r="A207" s="5" t="s">
        <v>94</v>
      </c>
      <c r="B207" s="5">
        <v>23.11320686340332</v>
      </c>
      <c r="C207" s="5">
        <v>40.09434127807617</v>
      </c>
      <c r="D207" s="5">
        <v>40.75829315185547</v>
      </c>
      <c r="E207" s="5">
        <v>23.11320686340332</v>
      </c>
      <c r="F207" s="5">
        <v>31.13207626342773</v>
      </c>
      <c r="G207" s="5">
        <v>12.25490188598633</v>
      </c>
      <c r="H207" s="5">
        <v>28.41100438435872</v>
      </c>
    </row>
    <row r="208" ht="15.75" customHeight="1">
      <c r="A208" s="5" t="s">
        <v>243</v>
      </c>
      <c r="B208" s="5">
        <v>53.77358627319336</v>
      </c>
      <c r="C208" s="5">
        <v>31.13207626342773</v>
      </c>
      <c r="D208" s="5">
        <v>81.04265594482422</v>
      </c>
      <c r="E208" s="5">
        <v>54.71697998046875</v>
      </c>
      <c r="F208" s="5">
        <v>48.11320877075195</v>
      </c>
      <c r="G208" s="5">
        <v>68.13725280761719</v>
      </c>
      <c r="H208" s="5">
        <v>56.15262667338053</v>
      </c>
    </row>
    <row r="209" ht="15.75" customHeight="1">
      <c r="A209" s="5" t="s">
        <v>110</v>
      </c>
      <c r="B209" s="5">
        <v>1.415094375610352</v>
      </c>
      <c r="C209" s="5">
        <v>5.660377502441406</v>
      </c>
      <c r="D209" s="5">
        <v>12.32227516174316</v>
      </c>
      <c r="E209" s="5">
        <v>0.4716981053352356</v>
      </c>
      <c r="F209" s="5">
        <v>1.886792421340942</v>
      </c>
      <c r="G209" s="5">
        <v>6.86274528503418</v>
      </c>
      <c r="H209" s="5">
        <v>4.76983047525088</v>
      </c>
    </row>
    <row r="210" ht="15.75" customHeight="1">
      <c r="A210" s="5" t="s">
        <v>96</v>
      </c>
      <c r="B210" s="5">
        <v>38.67924499511719</v>
      </c>
      <c r="C210" s="5">
        <v>56.13207626342773</v>
      </c>
      <c r="D210" s="5">
        <v>45.02369689941406</v>
      </c>
      <c r="E210" s="5">
        <v>50.47169876098633</v>
      </c>
      <c r="F210" s="5">
        <v>38.20754623413086</v>
      </c>
      <c r="G210" s="5">
        <v>15.19607830047607</v>
      </c>
      <c r="H210" s="5">
        <v>40.61839024225871</v>
      </c>
    </row>
    <row r="211" ht="15.75" customHeight="1">
      <c r="A211" s="5" t="s">
        <v>244</v>
      </c>
      <c r="B211" s="5">
        <v>53.30188751220703</v>
      </c>
      <c r="C211" s="5">
        <v>73.11320495605469</v>
      </c>
      <c r="D211" s="5">
        <v>63.03317642211914</v>
      </c>
      <c r="E211" s="5">
        <v>81.60377502441406</v>
      </c>
      <c r="F211" s="5">
        <v>89.62264251708984</v>
      </c>
      <c r="H211" s="5">
        <v>72.13493728637695</v>
      </c>
    </row>
    <row r="212" ht="15.75" customHeight="1">
      <c r="A212" s="5" t="s">
        <v>245</v>
      </c>
      <c r="B212" s="5">
        <v>26.41509437561035</v>
      </c>
      <c r="C212" s="5">
        <v>10.37735843658447</v>
      </c>
      <c r="D212" s="5">
        <v>7.109004974365234</v>
      </c>
      <c r="E212" s="5">
        <v>25.94339561462402</v>
      </c>
      <c r="F212" s="5">
        <v>41.98113250732422</v>
      </c>
      <c r="G212" s="5">
        <v>18.13725471496582</v>
      </c>
      <c r="H212" s="5">
        <v>21.66054010391235</v>
      </c>
    </row>
    <row r="213" ht="15.75" customHeight="1">
      <c r="A213" s="5" t="s">
        <v>246</v>
      </c>
      <c r="B213" s="5">
        <v>1.886792421340942</v>
      </c>
      <c r="C213" s="5">
        <v>0.4716981053352356</v>
      </c>
      <c r="D213" s="5">
        <v>0.9478672742843628</v>
      </c>
      <c r="E213" s="5">
        <v>1.886792421340942</v>
      </c>
      <c r="F213" s="5">
        <v>3.301886796951294</v>
      </c>
      <c r="G213" s="5">
        <v>6.372549057006836</v>
      </c>
      <c r="H213" s="5">
        <v>2.477931012709936</v>
      </c>
    </row>
    <row r="214" ht="15.75" customHeight="1">
      <c r="A214" s="5" t="s">
        <v>129</v>
      </c>
      <c r="B214" s="5">
        <v>36.79245376586914</v>
      </c>
      <c r="C214" s="5">
        <v>27.8301887512207</v>
      </c>
      <c r="D214" s="5">
        <v>52.1327018737793</v>
      </c>
      <c r="E214" s="5">
        <v>31.60377311706543</v>
      </c>
      <c r="F214" s="5">
        <v>33.49056625366211</v>
      </c>
      <c r="G214" s="5">
        <v>45.09803771972656</v>
      </c>
      <c r="H214" s="5">
        <v>37.82462024688721</v>
      </c>
    </row>
    <row r="215" ht="15.75" customHeight="1">
      <c r="A215" s="5" t="s">
        <v>102</v>
      </c>
      <c r="B215" s="5">
        <v>9.905660629272461</v>
      </c>
      <c r="C215" s="5">
        <v>11.79245281219482</v>
      </c>
      <c r="D215" s="5">
        <v>15.1658763885498</v>
      </c>
      <c r="E215" s="5">
        <v>10.37735843658447</v>
      </c>
      <c r="F215" s="5">
        <v>8.962264060974121</v>
      </c>
      <c r="G215" s="5">
        <v>19.11764717102051</v>
      </c>
      <c r="H215" s="5">
        <v>12.55354324976603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1" t="s">
        <v>0</v>
      </c>
      <c r="B1" s="21" t="s">
        <v>247</v>
      </c>
      <c r="C1" s="21" t="s">
        <v>248</v>
      </c>
    </row>
    <row r="2" ht="15.75" customHeight="1">
      <c r="A2" s="19" t="s">
        <v>151</v>
      </c>
      <c r="B2" s="22">
        <v>93.7</v>
      </c>
      <c r="C2" s="22">
        <v>169.8</v>
      </c>
    </row>
    <row r="3" ht="15.75" customHeight="1">
      <c r="A3" s="19" t="s">
        <v>132</v>
      </c>
      <c r="B3" s="22">
        <v>89.8</v>
      </c>
      <c r="C3" s="22">
        <v>162.2</v>
      </c>
    </row>
    <row r="4" ht="15.75" customHeight="1">
      <c r="A4" s="19" t="s">
        <v>83</v>
      </c>
      <c r="B4" s="22">
        <v>89.4</v>
      </c>
      <c r="C4" s="22">
        <v>159.8</v>
      </c>
    </row>
    <row r="5" ht="15.75" customHeight="1">
      <c r="A5" s="19" t="s">
        <v>117</v>
      </c>
      <c r="B5" s="22">
        <v>88.2</v>
      </c>
      <c r="C5" s="22">
        <v>157.5</v>
      </c>
    </row>
    <row r="6" ht="15.75" customHeight="1">
      <c r="A6" s="19" t="s">
        <v>134</v>
      </c>
      <c r="B6" s="22">
        <v>87.8</v>
      </c>
      <c r="C6" s="22">
        <v>160.4</v>
      </c>
    </row>
    <row r="7" ht="15.75" customHeight="1">
      <c r="A7" s="19" t="s">
        <v>113</v>
      </c>
      <c r="B7" s="22">
        <v>87.0</v>
      </c>
      <c r="C7" s="22">
        <v>155.8</v>
      </c>
    </row>
    <row r="8" ht="15.75" customHeight="1">
      <c r="A8" s="19" t="s">
        <v>108</v>
      </c>
      <c r="B8" s="22">
        <v>85.6</v>
      </c>
      <c r="C8" s="22">
        <v>153.0</v>
      </c>
    </row>
    <row r="9" ht="15.75" customHeight="1">
      <c r="A9" s="19" t="s">
        <v>157</v>
      </c>
      <c r="B9" s="22">
        <v>84.4</v>
      </c>
      <c r="C9" s="22">
        <v>150.5</v>
      </c>
    </row>
    <row r="10" ht="15.75" customHeight="1">
      <c r="A10" s="19" t="s">
        <v>96</v>
      </c>
      <c r="B10" s="22">
        <v>84.2</v>
      </c>
      <c r="C10" s="22">
        <v>150.4</v>
      </c>
    </row>
    <row r="11" ht="15.75" customHeight="1">
      <c r="A11" s="19" t="s">
        <v>111</v>
      </c>
      <c r="B11" s="22">
        <v>84.2</v>
      </c>
      <c r="C11" s="22">
        <v>149.6</v>
      </c>
    </row>
    <row r="12" ht="15.75" customHeight="1">
      <c r="A12" s="19" t="s">
        <v>116</v>
      </c>
      <c r="B12" s="22">
        <v>82.7</v>
      </c>
      <c r="C12" s="22">
        <v>146.8</v>
      </c>
    </row>
    <row r="13" ht="15.75" customHeight="1">
      <c r="A13" s="19" t="s">
        <v>87</v>
      </c>
      <c r="B13" s="22">
        <v>82.5</v>
      </c>
      <c r="C13" s="22">
        <v>146.7</v>
      </c>
    </row>
    <row r="14" ht="15.75" customHeight="1">
      <c r="A14" s="19" t="s">
        <v>77</v>
      </c>
      <c r="B14" s="22">
        <v>79.6</v>
      </c>
      <c r="C14" s="22">
        <v>144.9</v>
      </c>
    </row>
    <row r="15" ht="15.75" customHeight="1">
      <c r="A15" s="19" t="s">
        <v>102</v>
      </c>
      <c r="B15" s="22">
        <v>78.4</v>
      </c>
      <c r="C15" s="22">
        <v>139.6</v>
      </c>
    </row>
    <row r="16" ht="15.75" customHeight="1">
      <c r="A16" s="19" t="s">
        <v>133</v>
      </c>
      <c r="B16" s="22">
        <v>77.8</v>
      </c>
      <c r="C16" s="22">
        <v>137.2</v>
      </c>
    </row>
    <row r="17" ht="15.75" customHeight="1">
      <c r="A17" s="19" t="s">
        <v>59</v>
      </c>
      <c r="B17" s="22">
        <v>77.8</v>
      </c>
      <c r="C17" s="22">
        <v>141.1</v>
      </c>
    </row>
    <row r="18" ht="15.75" customHeight="1">
      <c r="A18" s="19" t="s">
        <v>121</v>
      </c>
      <c r="B18" s="22">
        <v>77.7</v>
      </c>
      <c r="C18" s="22">
        <v>139.1</v>
      </c>
    </row>
    <row r="19" ht="15.75" customHeight="1">
      <c r="A19" s="19" t="s">
        <v>65</v>
      </c>
      <c r="B19" s="22">
        <v>77.6</v>
      </c>
      <c r="C19" s="22">
        <v>139.1</v>
      </c>
    </row>
    <row r="20" ht="15.75" customHeight="1">
      <c r="A20" s="19" t="s">
        <v>76</v>
      </c>
      <c r="B20" s="22">
        <v>77.5</v>
      </c>
      <c r="C20" s="22">
        <v>136.6</v>
      </c>
    </row>
    <row r="21" ht="15.75" customHeight="1">
      <c r="A21" s="19" t="s">
        <v>78</v>
      </c>
      <c r="B21" s="22">
        <v>77.2</v>
      </c>
      <c r="C21" s="22">
        <v>135.5</v>
      </c>
    </row>
    <row r="22" ht="15.75" customHeight="1">
      <c r="A22" s="19" t="s">
        <v>50</v>
      </c>
      <c r="B22" s="22">
        <v>75.8</v>
      </c>
      <c r="C22" s="22">
        <v>133.0</v>
      </c>
    </row>
    <row r="23" ht="15.75" customHeight="1">
      <c r="A23" s="19" t="s">
        <v>81</v>
      </c>
      <c r="B23" s="22">
        <v>75.7</v>
      </c>
      <c r="C23" s="22">
        <v>133.1</v>
      </c>
    </row>
    <row r="24" ht="15.75" customHeight="1">
      <c r="A24" s="19" t="s">
        <v>110</v>
      </c>
      <c r="B24" s="22">
        <v>75.6</v>
      </c>
      <c r="C24" s="22">
        <v>134.2</v>
      </c>
    </row>
    <row r="25" ht="15.75" customHeight="1">
      <c r="A25" s="19" t="s">
        <v>109</v>
      </c>
      <c r="B25" s="22">
        <v>75.3</v>
      </c>
      <c r="C25" s="22">
        <v>137.9</v>
      </c>
    </row>
    <row r="26" ht="15.75" customHeight="1">
      <c r="A26" s="19" t="s">
        <v>155</v>
      </c>
      <c r="B26" s="22">
        <v>74.9</v>
      </c>
      <c r="C26" s="22">
        <v>130.7</v>
      </c>
    </row>
    <row r="27" ht="15.75" customHeight="1">
      <c r="A27" s="19" t="s">
        <v>143</v>
      </c>
      <c r="B27" s="22">
        <v>73.5</v>
      </c>
      <c r="C27" s="22">
        <v>128.2</v>
      </c>
    </row>
    <row r="28" ht="15.75" customHeight="1">
      <c r="A28" s="19" t="s">
        <v>130</v>
      </c>
      <c r="B28" s="22">
        <v>73.2</v>
      </c>
      <c r="C28" s="22">
        <v>127.9</v>
      </c>
    </row>
    <row r="29" ht="15.75" customHeight="1">
      <c r="A29" s="19" t="s">
        <v>80</v>
      </c>
      <c r="B29" s="22">
        <v>73.2</v>
      </c>
      <c r="C29" s="22">
        <v>132.8</v>
      </c>
    </row>
    <row r="30" ht="15.75" customHeight="1">
      <c r="A30" s="19" t="s">
        <v>114</v>
      </c>
      <c r="B30" s="22">
        <v>73.2</v>
      </c>
      <c r="C30" s="22">
        <v>127.6</v>
      </c>
    </row>
    <row r="31" ht="15.75" customHeight="1">
      <c r="A31" s="19" t="s">
        <v>97</v>
      </c>
      <c r="B31" s="22">
        <v>73.0</v>
      </c>
      <c r="C31" s="22">
        <v>127.2</v>
      </c>
    </row>
    <row r="32" ht="15.75" customHeight="1">
      <c r="A32" s="19" t="s">
        <v>71</v>
      </c>
      <c r="B32" s="22">
        <v>72.8</v>
      </c>
      <c r="C32" s="22">
        <v>127.1</v>
      </c>
    </row>
    <row r="33" ht="15.75" customHeight="1">
      <c r="A33" s="19" t="s">
        <v>95</v>
      </c>
      <c r="B33" s="22">
        <v>72.7</v>
      </c>
      <c r="C33" s="22">
        <v>127.0</v>
      </c>
    </row>
    <row r="34" ht="15.75" customHeight="1">
      <c r="A34" s="19" t="s">
        <v>101</v>
      </c>
      <c r="B34" s="22">
        <v>72.6</v>
      </c>
      <c r="C34" s="22">
        <v>127.4</v>
      </c>
    </row>
    <row r="35" ht="15.75" customHeight="1">
      <c r="A35" s="19" t="s">
        <v>91</v>
      </c>
      <c r="B35" s="22">
        <v>72.5</v>
      </c>
      <c r="C35" s="22">
        <v>126.2</v>
      </c>
    </row>
    <row r="36" ht="15.75" customHeight="1">
      <c r="A36" s="19" t="s">
        <v>150</v>
      </c>
      <c r="B36" s="22">
        <v>71.9</v>
      </c>
      <c r="C36" s="22">
        <v>125.7</v>
      </c>
    </row>
    <row r="37" ht="15.75" customHeight="1">
      <c r="A37" s="19" t="s">
        <v>32</v>
      </c>
      <c r="B37" s="22">
        <v>71.6</v>
      </c>
      <c r="C37" s="22">
        <v>129.3</v>
      </c>
    </row>
    <row r="38" ht="15.75" customHeight="1">
      <c r="A38" s="19" t="s">
        <v>105</v>
      </c>
      <c r="B38" s="22">
        <v>70.2</v>
      </c>
      <c r="C38" s="22">
        <v>122.2</v>
      </c>
    </row>
    <row r="39" ht="15.75" customHeight="1">
      <c r="A39" s="19" t="s">
        <v>36</v>
      </c>
      <c r="B39" s="22">
        <v>69.4</v>
      </c>
      <c r="C39" s="22">
        <v>122.7</v>
      </c>
    </row>
    <row r="40" ht="15.75" customHeight="1">
      <c r="A40" s="19" t="s">
        <v>106</v>
      </c>
      <c r="B40" s="22">
        <v>69.0</v>
      </c>
      <c r="C40" s="22">
        <v>120.8</v>
      </c>
    </row>
    <row r="41" ht="15.75" customHeight="1">
      <c r="A41" s="19" t="s">
        <v>93</v>
      </c>
      <c r="B41" s="22">
        <v>68.7</v>
      </c>
      <c r="C41" s="22">
        <v>119.3</v>
      </c>
    </row>
    <row r="42" ht="15.75" customHeight="1">
      <c r="A42" s="19" t="s">
        <v>86</v>
      </c>
      <c r="B42" s="22">
        <v>68.6</v>
      </c>
      <c r="C42" s="22">
        <v>123.2</v>
      </c>
    </row>
    <row r="43" ht="15.75" customHeight="1">
      <c r="A43" s="19" t="s">
        <v>104</v>
      </c>
      <c r="B43" s="22">
        <v>67.6</v>
      </c>
      <c r="C43" s="22">
        <v>116.8</v>
      </c>
    </row>
    <row r="44" ht="15.75" customHeight="1">
      <c r="A44" s="19" t="s">
        <v>19</v>
      </c>
      <c r="B44" s="22">
        <v>67.0</v>
      </c>
      <c r="C44" s="22">
        <v>118.8</v>
      </c>
    </row>
    <row r="45" ht="15.75" customHeight="1">
      <c r="A45" s="19" t="s">
        <v>68</v>
      </c>
      <c r="B45" s="22">
        <v>66.7</v>
      </c>
      <c r="C45" s="22">
        <v>115.4</v>
      </c>
    </row>
    <row r="46" ht="15.75" customHeight="1">
      <c r="A46" s="19" t="s">
        <v>154</v>
      </c>
      <c r="B46" s="22">
        <v>66.3</v>
      </c>
      <c r="C46" s="22">
        <v>115.4</v>
      </c>
    </row>
    <row r="47" ht="15.75" customHeight="1">
      <c r="A47" s="19" t="s">
        <v>69</v>
      </c>
      <c r="B47" s="22">
        <v>65.2</v>
      </c>
      <c r="C47" s="22">
        <v>114.8</v>
      </c>
    </row>
    <row r="48" ht="15.75" customHeight="1">
      <c r="A48" s="19" t="s">
        <v>48</v>
      </c>
      <c r="B48" s="22">
        <v>64.5</v>
      </c>
      <c r="C48" s="22">
        <v>112.0</v>
      </c>
    </row>
    <row r="49" ht="15.75" customHeight="1">
      <c r="A49" s="19" t="s">
        <v>73</v>
      </c>
      <c r="B49" s="22">
        <v>64.3</v>
      </c>
      <c r="C49" s="22">
        <v>111.2</v>
      </c>
    </row>
    <row r="50" ht="15.75" customHeight="1">
      <c r="A50" s="19" t="s">
        <v>107</v>
      </c>
      <c r="B50" s="22">
        <v>63.7</v>
      </c>
      <c r="C50" s="22">
        <v>110.9</v>
      </c>
    </row>
    <row r="51" ht="15.75" customHeight="1">
      <c r="A51" s="19" t="s">
        <v>137</v>
      </c>
      <c r="B51" s="22">
        <v>63.5</v>
      </c>
      <c r="C51" s="22">
        <v>111.2</v>
      </c>
    </row>
    <row r="52" ht="15.75" customHeight="1">
      <c r="A52" s="19" t="s">
        <v>57</v>
      </c>
      <c r="B52" s="22">
        <v>63.1</v>
      </c>
      <c r="C52" s="22">
        <v>113.8</v>
      </c>
    </row>
    <row r="53" ht="15.75" customHeight="1">
      <c r="A53" s="19" t="s">
        <v>98</v>
      </c>
      <c r="B53" s="22">
        <v>62.6</v>
      </c>
      <c r="C53" s="22">
        <v>110.4</v>
      </c>
    </row>
    <row r="54" ht="15.75" customHeight="1">
      <c r="A54" s="19" t="s">
        <v>84</v>
      </c>
      <c r="B54" s="22">
        <v>62.6</v>
      </c>
      <c r="C54" s="22">
        <v>114.1</v>
      </c>
    </row>
    <row r="55" ht="15.75" customHeight="1">
      <c r="A55" s="19" t="s">
        <v>79</v>
      </c>
      <c r="B55" s="22">
        <v>62.6</v>
      </c>
      <c r="C55" s="22">
        <v>108.4</v>
      </c>
    </row>
    <row r="56" ht="15.75" customHeight="1">
      <c r="A56" s="19" t="s">
        <v>39</v>
      </c>
      <c r="B56" s="22">
        <v>62.5</v>
      </c>
      <c r="C56" s="22">
        <v>109.3</v>
      </c>
    </row>
    <row r="57" ht="15.75" customHeight="1">
      <c r="A57" s="19" t="s">
        <v>92</v>
      </c>
      <c r="B57" s="22">
        <v>62.1</v>
      </c>
      <c r="C57" s="22">
        <v>106.9</v>
      </c>
    </row>
    <row r="58" ht="15.75" customHeight="1">
      <c r="A58" s="19" t="s">
        <v>61</v>
      </c>
      <c r="B58" s="22">
        <v>61.4</v>
      </c>
      <c r="C58" s="22">
        <v>104.7</v>
      </c>
    </row>
    <row r="59" ht="15.75" customHeight="1">
      <c r="A59" s="19" t="s">
        <v>37</v>
      </c>
      <c r="B59" s="22">
        <v>61.4</v>
      </c>
      <c r="C59" s="22">
        <v>112.0</v>
      </c>
    </row>
    <row r="60" ht="15.75" customHeight="1">
      <c r="A60" s="19" t="s">
        <v>26</v>
      </c>
      <c r="B60" s="22">
        <v>60.0</v>
      </c>
      <c r="C60" s="22">
        <v>106.0</v>
      </c>
    </row>
    <row r="61" ht="15.75" customHeight="1">
      <c r="A61" s="19" t="s">
        <v>74</v>
      </c>
      <c r="B61" s="22">
        <v>59.8</v>
      </c>
      <c r="C61" s="22">
        <v>105.6</v>
      </c>
    </row>
    <row r="62" ht="15.75" customHeight="1">
      <c r="A62" s="19" t="s">
        <v>72</v>
      </c>
      <c r="B62" s="22">
        <v>59.3</v>
      </c>
      <c r="C62" s="22">
        <v>101.3</v>
      </c>
    </row>
    <row r="63" ht="15.75" customHeight="1">
      <c r="A63" s="19" t="s">
        <v>90</v>
      </c>
      <c r="B63" s="22">
        <v>58.8</v>
      </c>
      <c r="C63" s="22">
        <v>100.5</v>
      </c>
    </row>
    <row r="64" ht="15.75" customHeight="1">
      <c r="A64" s="19" t="s">
        <v>60</v>
      </c>
      <c r="B64" s="22">
        <v>58.8</v>
      </c>
      <c r="C64" s="22">
        <v>100.5</v>
      </c>
    </row>
    <row r="65" ht="15.75" customHeight="1">
      <c r="A65" s="19" t="s">
        <v>112</v>
      </c>
      <c r="B65" s="22">
        <v>58.5</v>
      </c>
      <c r="C65" s="22">
        <v>99.9</v>
      </c>
    </row>
    <row r="66" ht="15.75" customHeight="1">
      <c r="A66" s="19" t="s">
        <v>70</v>
      </c>
      <c r="B66" s="22">
        <v>58.2</v>
      </c>
      <c r="C66" s="22">
        <v>98.8</v>
      </c>
    </row>
    <row r="67" ht="15.75" customHeight="1">
      <c r="A67" s="19" t="s">
        <v>27</v>
      </c>
      <c r="B67" s="22">
        <v>56.8</v>
      </c>
      <c r="C67" s="22">
        <v>100.6</v>
      </c>
    </row>
    <row r="68" ht="15.75" customHeight="1">
      <c r="A68" s="19" t="s">
        <v>53</v>
      </c>
      <c r="B68" s="22">
        <v>56.7</v>
      </c>
      <c r="C68" s="22">
        <v>96.7</v>
      </c>
    </row>
    <row r="69" ht="15.75" customHeight="1">
      <c r="A69" s="19" t="s">
        <v>66</v>
      </c>
      <c r="B69" s="22">
        <v>55.6</v>
      </c>
      <c r="C69" s="22">
        <v>96.6</v>
      </c>
    </row>
    <row r="70" ht="15.75" customHeight="1">
      <c r="A70" s="19" t="s">
        <v>49</v>
      </c>
      <c r="B70" s="22">
        <v>55.6</v>
      </c>
      <c r="C70" s="22">
        <v>98.4</v>
      </c>
    </row>
    <row r="71" ht="15.75" customHeight="1">
      <c r="A71" s="19" t="s">
        <v>43</v>
      </c>
      <c r="B71" s="22">
        <v>55.3</v>
      </c>
      <c r="C71" s="22">
        <v>93.2</v>
      </c>
    </row>
    <row r="72" ht="15.75" customHeight="1">
      <c r="A72" s="19" t="s">
        <v>75</v>
      </c>
      <c r="B72" s="22">
        <v>54.8</v>
      </c>
      <c r="C72" s="22">
        <v>93.1</v>
      </c>
    </row>
    <row r="73" ht="15.75" customHeight="1">
      <c r="A73" s="19" t="s">
        <v>94</v>
      </c>
      <c r="B73" s="22">
        <v>54.3</v>
      </c>
      <c r="C73" s="22">
        <v>92.1</v>
      </c>
    </row>
    <row r="74" ht="15.75" customHeight="1">
      <c r="A74" s="19" t="s">
        <v>44</v>
      </c>
      <c r="B74" s="22">
        <v>53.8</v>
      </c>
      <c r="C74" s="22">
        <v>91.2</v>
      </c>
    </row>
    <row r="75" ht="15.75" customHeight="1">
      <c r="A75" s="19" t="s">
        <v>89</v>
      </c>
      <c r="B75" s="22">
        <v>52.5</v>
      </c>
      <c r="C75" s="22">
        <v>89.3</v>
      </c>
    </row>
    <row r="76" ht="15.75" customHeight="1">
      <c r="A76" s="19" t="s">
        <v>62</v>
      </c>
      <c r="B76" s="22">
        <v>51.8</v>
      </c>
      <c r="C76" s="22">
        <v>90.5</v>
      </c>
    </row>
    <row r="77" ht="15.75" customHeight="1">
      <c r="A77" s="19" t="s">
        <v>85</v>
      </c>
      <c r="B77" s="22">
        <v>50.9</v>
      </c>
      <c r="C77" s="22">
        <v>86.8</v>
      </c>
    </row>
    <row r="78" ht="15.75" customHeight="1">
      <c r="A78" s="19" t="s">
        <v>33</v>
      </c>
      <c r="B78" s="22">
        <v>49.5</v>
      </c>
      <c r="C78" s="22">
        <v>83.3</v>
      </c>
    </row>
    <row r="79" ht="15.75" customHeight="1">
      <c r="A79" s="19" t="s">
        <v>23</v>
      </c>
      <c r="B79" s="22">
        <v>48.2</v>
      </c>
      <c r="C79" s="22">
        <v>81.5</v>
      </c>
    </row>
    <row r="80" ht="15.75" customHeight="1">
      <c r="A80" s="19" t="s">
        <v>38</v>
      </c>
      <c r="B80" s="22">
        <v>47.9</v>
      </c>
      <c r="C80" s="22">
        <v>82.0</v>
      </c>
    </row>
    <row r="81" ht="15.75" customHeight="1">
      <c r="A81" s="19" t="s">
        <v>58</v>
      </c>
      <c r="B81" s="22">
        <v>46.7</v>
      </c>
      <c r="C81" s="22">
        <v>80.8</v>
      </c>
    </row>
    <row r="82" ht="15.75" customHeight="1">
      <c r="A82" s="19" t="s">
        <v>67</v>
      </c>
      <c r="B82" s="22">
        <v>45.2</v>
      </c>
      <c r="C82" s="22">
        <v>76.0</v>
      </c>
    </row>
    <row r="83" ht="15.75" customHeight="1">
      <c r="A83" s="19" t="s">
        <v>82</v>
      </c>
      <c r="B83" s="22">
        <v>45.2</v>
      </c>
      <c r="C83" s="22">
        <v>75.2</v>
      </c>
    </row>
    <row r="84" ht="15.75" customHeight="1">
      <c r="A84" s="19" t="s">
        <v>35</v>
      </c>
      <c r="B84" s="22">
        <v>43.7</v>
      </c>
      <c r="C84" s="22">
        <v>73.0</v>
      </c>
    </row>
    <row r="85" ht="15.75" customHeight="1">
      <c r="A85" s="19" t="s">
        <v>63</v>
      </c>
      <c r="B85" s="22">
        <v>43.6</v>
      </c>
      <c r="C85" s="22">
        <v>77.5</v>
      </c>
    </row>
    <row r="86" ht="15.75" customHeight="1">
      <c r="A86" s="19" t="s">
        <v>64</v>
      </c>
      <c r="B86" s="22">
        <v>42.9</v>
      </c>
      <c r="C86" s="22">
        <v>73.0</v>
      </c>
    </row>
    <row r="87" ht="15.75" customHeight="1">
      <c r="A87" s="19" t="s">
        <v>22</v>
      </c>
      <c r="B87" s="22">
        <v>40.4</v>
      </c>
      <c r="C87" s="22">
        <v>66.9</v>
      </c>
    </row>
    <row r="88" ht="15.75" customHeight="1">
      <c r="A88" s="19" t="s">
        <v>40</v>
      </c>
      <c r="B88" s="22">
        <v>38.5</v>
      </c>
      <c r="C88" s="22">
        <v>62.2</v>
      </c>
    </row>
    <row r="89" ht="15.75" customHeight="1">
      <c r="A89" s="19" t="s">
        <v>54</v>
      </c>
      <c r="B89" s="22">
        <v>37.4</v>
      </c>
      <c r="C89" s="22">
        <v>62.6</v>
      </c>
    </row>
    <row r="90" ht="15.75" customHeight="1">
      <c r="A90" s="19" t="s">
        <v>14</v>
      </c>
      <c r="B90" s="22">
        <v>36.5</v>
      </c>
      <c r="C90" s="22">
        <v>60.3</v>
      </c>
    </row>
    <row r="91" ht="15.75" customHeight="1">
      <c r="A91" s="19" t="s">
        <v>42</v>
      </c>
      <c r="B91" s="22">
        <v>35.4</v>
      </c>
      <c r="C91" s="22">
        <v>57.0</v>
      </c>
    </row>
    <row r="92" ht="15.75" customHeight="1">
      <c r="A92" s="19" t="s">
        <v>41</v>
      </c>
      <c r="B92" s="22">
        <v>35.0</v>
      </c>
      <c r="C92" s="22">
        <v>55.6</v>
      </c>
    </row>
    <row r="93" ht="15.75" customHeight="1">
      <c r="A93" s="19" t="s">
        <v>45</v>
      </c>
      <c r="B93" s="22">
        <v>34.9</v>
      </c>
      <c r="C93" s="22">
        <v>57.8</v>
      </c>
    </row>
    <row r="94" ht="15.75" customHeight="1">
      <c r="A94" s="19" t="s">
        <v>25</v>
      </c>
      <c r="B94" s="22">
        <v>34.4</v>
      </c>
      <c r="C94" s="22">
        <v>57.1</v>
      </c>
    </row>
    <row r="95" ht="15.75" customHeight="1">
      <c r="A95" s="19" t="s">
        <v>15</v>
      </c>
      <c r="B95" s="22">
        <v>32.5</v>
      </c>
      <c r="C95" s="22">
        <v>55.3</v>
      </c>
    </row>
    <row r="96" ht="15.75" customHeight="1">
      <c r="A96" s="19" t="s">
        <v>51</v>
      </c>
      <c r="B96" s="22">
        <v>30.8</v>
      </c>
      <c r="C96" s="22">
        <v>50.6</v>
      </c>
    </row>
    <row r="97" ht="15.75" customHeight="1">
      <c r="A97" s="19" t="s">
        <v>55</v>
      </c>
      <c r="B97" s="22">
        <v>30.4</v>
      </c>
      <c r="C97" s="22">
        <v>49.0</v>
      </c>
    </row>
    <row r="98" ht="15.75" customHeight="1">
      <c r="A98" s="19" t="s">
        <v>30</v>
      </c>
      <c r="B98" s="22">
        <v>29.7</v>
      </c>
      <c r="C98" s="22">
        <v>48.4</v>
      </c>
    </row>
    <row r="99" ht="15.75" customHeight="1">
      <c r="A99" s="19" t="s">
        <v>56</v>
      </c>
      <c r="B99" s="22">
        <v>28.7</v>
      </c>
      <c r="C99" s="22">
        <v>45.9</v>
      </c>
    </row>
    <row r="100" ht="15.75" customHeight="1">
      <c r="A100" s="19" t="s">
        <v>28</v>
      </c>
      <c r="B100" s="22">
        <v>28.7</v>
      </c>
      <c r="C100" s="22">
        <v>46.3</v>
      </c>
    </row>
    <row r="101" ht="15.75" customHeight="1">
      <c r="A101" s="19" t="s">
        <v>18</v>
      </c>
      <c r="B101" s="22">
        <v>27.0</v>
      </c>
      <c r="C101" s="22">
        <v>43.2</v>
      </c>
    </row>
    <row r="102" ht="15.75" customHeight="1">
      <c r="A102" s="19" t="s">
        <v>52</v>
      </c>
      <c r="B102" s="22">
        <v>26.3</v>
      </c>
      <c r="C102" s="22">
        <v>42.6</v>
      </c>
    </row>
    <row r="103" ht="15.75" customHeight="1">
      <c r="A103" s="19" t="s">
        <v>24</v>
      </c>
      <c r="B103" s="22">
        <v>26.3</v>
      </c>
      <c r="C103" s="22">
        <v>44.6</v>
      </c>
    </row>
    <row r="104" ht="15.75" customHeight="1">
      <c r="A104" s="19" t="s">
        <v>12</v>
      </c>
      <c r="B104" s="22">
        <v>23.3</v>
      </c>
      <c r="C104" s="22">
        <v>37.4</v>
      </c>
    </row>
    <row r="105" ht="15.75" customHeight="1">
      <c r="A105" s="19" t="s">
        <v>13</v>
      </c>
      <c r="B105" s="22">
        <v>23.3</v>
      </c>
      <c r="C105" s="22">
        <v>35.3</v>
      </c>
    </row>
    <row r="106" ht="15.75" customHeight="1">
      <c r="A106" s="19" t="s">
        <v>46</v>
      </c>
      <c r="B106" s="22">
        <v>22.0</v>
      </c>
      <c r="C106" s="22">
        <v>38.3</v>
      </c>
    </row>
    <row r="107" ht="15.75" customHeight="1">
      <c r="A107" s="19" t="s">
        <v>20</v>
      </c>
      <c r="B107" s="22">
        <v>21.4</v>
      </c>
      <c r="C107" s="22">
        <v>34.0</v>
      </c>
    </row>
    <row r="108" ht="15.75" customHeight="1">
      <c r="A108" s="19" t="s">
        <v>34</v>
      </c>
      <c r="B108" s="22">
        <v>21.2</v>
      </c>
      <c r="C108" s="22">
        <v>34.0</v>
      </c>
    </row>
    <row r="109" ht="15.75" customHeight="1">
      <c r="A109" s="19" t="s">
        <v>17</v>
      </c>
      <c r="B109" s="22">
        <v>20.8</v>
      </c>
      <c r="C109" s="22">
        <v>32.2</v>
      </c>
    </row>
    <row r="110" ht="15.75" customHeight="1">
      <c r="A110" s="19" t="s">
        <v>21</v>
      </c>
      <c r="B110" s="22">
        <v>18.2</v>
      </c>
      <c r="C110" s="23">
        <v>29.3</v>
      </c>
    </row>
    <row r="111" ht="15.75" customHeight="1">
      <c r="A111" s="19" t="s">
        <v>29</v>
      </c>
      <c r="B111" s="22">
        <v>17.7</v>
      </c>
      <c r="C111" s="22">
        <v>27.4</v>
      </c>
    </row>
    <row r="112" ht="15.75" customHeight="1">
      <c r="A112" s="19" t="s">
        <v>47</v>
      </c>
      <c r="B112" s="22">
        <v>17.0</v>
      </c>
      <c r="C112" s="22">
        <v>27.3</v>
      </c>
    </row>
    <row r="113" ht="15.75" customHeight="1">
      <c r="A113" s="19" t="s">
        <v>16</v>
      </c>
      <c r="B113" s="22">
        <v>16.0</v>
      </c>
      <c r="C113" s="22">
        <v>27.2</v>
      </c>
    </row>
    <row r="114" ht="15.75" customHeight="1">
      <c r="A114" s="19" t="s">
        <v>31</v>
      </c>
      <c r="B114" s="22">
        <v>11.9</v>
      </c>
      <c r="C114" s="22">
        <v>19.9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67"/>
    <col customWidth="1" min="2" max="26" width="10.56"/>
  </cols>
  <sheetData>
    <row r="1" ht="15.75" customHeight="1">
      <c r="A1" s="5" t="s">
        <v>0</v>
      </c>
      <c r="B1" s="5" t="s">
        <v>249</v>
      </c>
      <c r="C1" s="24" t="s">
        <v>250</v>
      </c>
      <c r="D1" s="24" t="s">
        <v>251</v>
      </c>
    </row>
    <row r="2" ht="15.75" customHeight="1">
      <c r="A2" s="19" t="s">
        <v>110</v>
      </c>
      <c r="B2" s="19">
        <v>99.9</v>
      </c>
    </row>
    <row r="3" ht="15.75" customHeight="1">
      <c r="A3" s="19" t="s">
        <v>106</v>
      </c>
      <c r="B3" s="19">
        <v>99.8</v>
      </c>
    </row>
    <row r="4" ht="15.75" customHeight="1">
      <c r="A4" s="19" t="s">
        <v>64</v>
      </c>
      <c r="B4" s="19">
        <v>99.5</v>
      </c>
    </row>
    <row r="5" ht="15.75" customHeight="1">
      <c r="A5" s="19" t="s">
        <v>90</v>
      </c>
      <c r="B5" s="19">
        <v>98.7</v>
      </c>
    </row>
    <row r="6" ht="15.75" customHeight="1">
      <c r="A6" s="19" t="s">
        <v>98</v>
      </c>
      <c r="B6" s="19">
        <v>98.4</v>
      </c>
    </row>
    <row r="7" ht="15.75" customHeight="1">
      <c r="A7" s="19" t="s">
        <v>85</v>
      </c>
      <c r="B7" s="19">
        <v>98.3</v>
      </c>
    </row>
    <row r="8" ht="15.75" customHeight="1">
      <c r="A8" s="19" t="s">
        <v>63</v>
      </c>
      <c r="B8" s="19">
        <v>98.0</v>
      </c>
    </row>
    <row r="9" ht="15.75" customHeight="1">
      <c r="A9" s="19" t="s">
        <v>87</v>
      </c>
      <c r="B9" s="19">
        <v>97.7</v>
      </c>
    </row>
    <row r="10" ht="15.75" customHeight="1">
      <c r="A10" s="19" t="s">
        <v>50</v>
      </c>
      <c r="B10" s="19">
        <v>97.4</v>
      </c>
    </row>
    <row r="11" ht="15.75" customHeight="1">
      <c r="A11" s="19" t="s">
        <v>89</v>
      </c>
      <c r="B11" s="19">
        <v>97.4</v>
      </c>
    </row>
    <row r="12" ht="15.75" customHeight="1">
      <c r="A12" s="19" t="s">
        <v>56</v>
      </c>
      <c r="B12" s="19">
        <v>97.3</v>
      </c>
    </row>
    <row r="13" ht="15.75" customHeight="1">
      <c r="A13" s="19" t="s">
        <v>24</v>
      </c>
      <c r="B13" s="19">
        <v>95.5</v>
      </c>
    </row>
    <row r="14" ht="15.75" customHeight="1">
      <c r="A14" s="19" t="s">
        <v>53</v>
      </c>
      <c r="B14" s="19">
        <v>95.3</v>
      </c>
    </row>
    <row r="15" ht="15.75" customHeight="1">
      <c r="A15" s="19" t="s">
        <v>83</v>
      </c>
      <c r="B15" s="19">
        <v>94.7</v>
      </c>
    </row>
    <row r="16" ht="15.75" customHeight="1">
      <c r="A16" s="19" t="s">
        <v>18</v>
      </c>
      <c r="B16" s="19">
        <v>93.8</v>
      </c>
    </row>
    <row r="17" ht="15.75" customHeight="1">
      <c r="A17" s="19" t="s">
        <v>27</v>
      </c>
      <c r="B17" s="19">
        <v>93.8</v>
      </c>
    </row>
    <row r="18" ht="15.75" customHeight="1">
      <c r="A18" s="19" t="s">
        <v>42</v>
      </c>
      <c r="B18" s="19">
        <v>93.6</v>
      </c>
    </row>
    <row r="19" ht="15.75" customHeight="1">
      <c r="A19" s="19" t="s">
        <v>73</v>
      </c>
      <c r="B19" s="19">
        <v>93.3</v>
      </c>
    </row>
    <row r="20" ht="15.75" customHeight="1">
      <c r="A20" s="19" t="s">
        <v>105</v>
      </c>
      <c r="B20" s="19">
        <v>93.2</v>
      </c>
    </row>
    <row r="21" ht="15.75" customHeight="1">
      <c r="A21" s="19" t="s">
        <v>43</v>
      </c>
      <c r="B21" s="19">
        <v>92.2</v>
      </c>
    </row>
    <row r="22" ht="15.75" customHeight="1">
      <c r="A22" s="19" t="s">
        <v>116</v>
      </c>
      <c r="B22" s="19">
        <v>92.0</v>
      </c>
    </row>
    <row r="23" ht="15.75" customHeight="1">
      <c r="A23" s="19" t="s">
        <v>62</v>
      </c>
      <c r="B23" s="19">
        <v>91.8</v>
      </c>
    </row>
    <row r="24" ht="15.75" customHeight="1">
      <c r="A24" s="19" t="s">
        <v>95</v>
      </c>
      <c r="B24" s="19">
        <v>91.4</v>
      </c>
    </row>
    <row r="25" ht="15.75" customHeight="1">
      <c r="A25" s="19" t="s">
        <v>35</v>
      </c>
      <c r="B25" s="19">
        <v>90.2</v>
      </c>
    </row>
    <row r="26" ht="15.75" customHeight="1">
      <c r="A26" s="19" t="s">
        <v>44</v>
      </c>
      <c r="B26" s="19">
        <v>90.2</v>
      </c>
    </row>
    <row r="27" ht="15.75" customHeight="1">
      <c r="A27" s="19" t="s">
        <v>65</v>
      </c>
      <c r="B27" s="19">
        <v>90.2</v>
      </c>
    </row>
    <row r="28" ht="15.75" customHeight="1">
      <c r="A28" s="19" t="s">
        <v>51</v>
      </c>
      <c r="B28" s="19">
        <v>89.2</v>
      </c>
    </row>
    <row r="29" ht="15.75" customHeight="1">
      <c r="A29" s="19" t="s">
        <v>76</v>
      </c>
      <c r="B29" s="19">
        <v>89.0</v>
      </c>
    </row>
    <row r="30" ht="15.75" customHeight="1">
      <c r="A30" s="19" t="s">
        <v>86</v>
      </c>
      <c r="B30" s="19">
        <v>88.5</v>
      </c>
    </row>
    <row r="31" ht="15.75" customHeight="1">
      <c r="A31" s="19" t="s">
        <v>25</v>
      </c>
      <c r="B31" s="19">
        <v>87.8</v>
      </c>
    </row>
    <row r="32" ht="15.75" customHeight="1">
      <c r="A32" s="19" t="s">
        <v>20</v>
      </c>
      <c r="B32" s="19">
        <v>87.2</v>
      </c>
    </row>
    <row r="33" ht="15.75" customHeight="1">
      <c r="A33" s="19" t="s">
        <v>22</v>
      </c>
      <c r="B33" s="19">
        <v>87.2</v>
      </c>
    </row>
    <row r="34" ht="15.75" customHeight="1">
      <c r="A34" s="19" t="s">
        <v>78</v>
      </c>
      <c r="B34" s="19">
        <v>86.4</v>
      </c>
    </row>
    <row r="35" ht="15.75" customHeight="1">
      <c r="A35" s="19" t="s">
        <v>33</v>
      </c>
      <c r="B35" s="19">
        <v>86.0</v>
      </c>
    </row>
    <row r="36" ht="15.75" customHeight="1">
      <c r="A36" s="19" t="s">
        <v>40</v>
      </c>
      <c r="B36" s="19">
        <v>85.3</v>
      </c>
    </row>
    <row r="37" ht="15.75" customHeight="1">
      <c r="A37" s="19" t="s">
        <v>70</v>
      </c>
      <c r="B37" s="19">
        <v>85.3</v>
      </c>
    </row>
    <row r="38" ht="15.75" customHeight="1">
      <c r="A38" s="19" t="s">
        <v>93</v>
      </c>
      <c r="B38" s="19">
        <v>85.2</v>
      </c>
    </row>
    <row r="39" ht="15.75" customHeight="1">
      <c r="A39" s="19" t="s">
        <v>48</v>
      </c>
      <c r="B39" s="19">
        <v>84.4</v>
      </c>
    </row>
    <row r="40" ht="15.75" customHeight="1">
      <c r="A40" s="19" t="s">
        <v>19</v>
      </c>
      <c r="B40" s="19">
        <v>83.6</v>
      </c>
    </row>
    <row r="41" ht="15.75" customHeight="1">
      <c r="A41" s="19" t="s">
        <v>69</v>
      </c>
      <c r="B41" s="19">
        <v>83.2</v>
      </c>
    </row>
    <row r="42" ht="15.75" customHeight="1">
      <c r="A42" s="19" t="s">
        <v>28</v>
      </c>
      <c r="B42" s="19">
        <v>82.9</v>
      </c>
    </row>
    <row r="43" ht="15.75" customHeight="1">
      <c r="A43" s="19" t="s">
        <v>57</v>
      </c>
      <c r="B43" s="19">
        <v>82.8</v>
      </c>
    </row>
    <row r="44" ht="15.75" customHeight="1">
      <c r="A44" s="19" t="s">
        <v>13</v>
      </c>
      <c r="B44" s="19">
        <v>82.6</v>
      </c>
    </row>
    <row r="45" ht="15.75" customHeight="1">
      <c r="A45" s="19" t="s">
        <v>17</v>
      </c>
      <c r="B45" s="19">
        <v>82.5</v>
      </c>
    </row>
    <row r="46" ht="15.75" customHeight="1">
      <c r="A46" s="19" t="s">
        <v>74</v>
      </c>
      <c r="B46" s="19">
        <v>80.5</v>
      </c>
    </row>
    <row r="47" ht="15.75" customHeight="1">
      <c r="A47" s="19" t="s">
        <v>45</v>
      </c>
      <c r="B47" s="19">
        <v>80.1</v>
      </c>
    </row>
    <row r="48" ht="15.75" customHeight="1">
      <c r="A48" s="19" t="s">
        <v>12</v>
      </c>
      <c r="B48" s="19">
        <v>79.2</v>
      </c>
    </row>
    <row r="49" ht="15.75" customHeight="1">
      <c r="A49" s="19" t="s">
        <v>59</v>
      </c>
      <c r="B49" s="19">
        <v>79.2</v>
      </c>
    </row>
    <row r="50" ht="15.75" customHeight="1">
      <c r="A50" s="19" t="s">
        <v>58</v>
      </c>
      <c r="B50" s="19">
        <v>78.7</v>
      </c>
    </row>
    <row r="51" ht="15.75" customHeight="1">
      <c r="A51" s="19" t="s">
        <v>14</v>
      </c>
      <c r="B51" s="19">
        <v>78.5</v>
      </c>
    </row>
    <row r="52" ht="15.75" customHeight="1">
      <c r="A52" s="19" t="s">
        <v>54</v>
      </c>
      <c r="B52" s="19">
        <v>78.1</v>
      </c>
    </row>
    <row r="53" ht="15.75" customHeight="1">
      <c r="A53" s="19" t="s">
        <v>34</v>
      </c>
      <c r="B53" s="19">
        <v>77.8</v>
      </c>
    </row>
    <row r="54" ht="15.75" customHeight="1">
      <c r="A54" s="19" t="s">
        <v>29</v>
      </c>
      <c r="B54" s="19">
        <v>76.5</v>
      </c>
    </row>
    <row r="55" ht="15.75" customHeight="1">
      <c r="A55" s="19" t="s">
        <v>77</v>
      </c>
      <c r="B55" s="19">
        <v>76.3</v>
      </c>
    </row>
    <row r="56" ht="15.75" customHeight="1">
      <c r="A56" s="19" t="s">
        <v>60</v>
      </c>
      <c r="B56" s="19">
        <v>76.2</v>
      </c>
    </row>
    <row r="57" ht="15.75" customHeight="1">
      <c r="A57" s="19" t="s">
        <v>46</v>
      </c>
      <c r="B57" s="19">
        <v>76.1</v>
      </c>
    </row>
    <row r="58" ht="15.75" customHeight="1">
      <c r="A58" s="19" t="s">
        <v>49</v>
      </c>
      <c r="B58" s="19">
        <v>75.9</v>
      </c>
    </row>
    <row r="59" ht="15.75" customHeight="1">
      <c r="A59" s="19" t="s">
        <v>55</v>
      </c>
      <c r="B59" s="19">
        <v>74.7</v>
      </c>
    </row>
    <row r="60" ht="15.75" customHeight="1">
      <c r="A60" s="19" t="s">
        <v>114</v>
      </c>
      <c r="B60" s="19">
        <v>71.9</v>
      </c>
    </row>
    <row r="61" ht="15.75" customHeight="1">
      <c r="A61" s="19" t="s">
        <v>108</v>
      </c>
      <c r="B61" s="19">
        <v>71.3</v>
      </c>
    </row>
    <row r="62" ht="15.75" customHeight="1">
      <c r="A62" s="19" t="s">
        <v>96</v>
      </c>
      <c r="B62" s="19">
        <v>71.2</v>
      </c>
    </row>
    <row r="63" ht="15.75" customHeight="1">
      <c r="A63" s="19" t="s">
        <v>109</v>
      </c>
      <c r="B63" s="19">
        <v>71.0</v>
      </c>
    </row>
    <row r="64" ht="15.75" customHeight="1">
      <c r="A64" s="19" t="s">
        <v>92</v>
      </c>
      <c r="B64" s="19">
        <v>70.7</v>
      </c>
    </row>
    <row r="65" ht="15.75" customHeight="1">
      <c r="A65" s="19" t="s">
        <v>81</v>
      </c>
      <c r="B65" s="19">
        <v>69.4</v>
      </c>
    </row>
    <row r="66" ht="15.75" customHeight="1">
      <c r="A66" s="19" t="s">
        <v>16</v>
      </c>
      <c r="B66" s="19">
        <v>68.8</v>
      </c>
    </row>
    <row r="67" ht="15.75" customHeight="1">
      <c r="A67" s="19" t="s">
        <v>21</v>
      </c>
      <c r="B67" s="19">
        <v>68.5</v>
      </c>
    </row>
    <row r="68" ht="15.75" customHeight="1">
      <c r="A68" s="19" t="s">
        <v>37</v>
      </c>
      <c r="B68" s="19">
        <v>68.4</v>
      </c>
    </row>
    <row r="69" ht="15.75" customHeight="1">
      <c r="A69" s="19" t="s">
        <v>52</v>
      </c>
      <c r="B69" s="19">
        <v>67.8</v>
      </c>
    </row>
    <row r="70" ht="15.75" customHeight="1">
      <c r="A70" s="19" t="s">
        <v>66</v>
      </c>
      <c r="B70" s="19">
        <v>67.8</v>
      </c>
    </row>
    <row r="71" ht="15.75" customHeight="1">
      <c r="A71" s="19" t="s">
        <v>41</v>
      </c>
      <c r="B71" s="19">
        <v>67.2</v>
      </c>
    </row>
    <row r="72" ht="15.75" customHeight="1">
      <c r="A72" s="19" t="s">
        <v>82</v>
      </c>
      <c r="B72" s="19">
        <v>64.4</v>
      </c>
    </row>
    <row r="73" ht="15.75" customHeight="1">
      <c r="A73" s="19" t="s">
        <v>47</v>
      </c>
      <c r="B73" s="19">
        <v>64.3</v>
      </c>
    </row>
    <row r="74" ht="15.75" customHeight="1">
      <c r="A74" s="19" t="s">
        <v>104</v>
      </c>
      <c r="B74" s="19">
        <v>63.8</v>
      </c>
    </row>
    <row r="75" ht="15.75" customHeight="1">
      <c r="A75" s="19" t="s">
        <v>84</v>
      </c>
      <c r="B75" s="19">
        <v>63.4</v>
      </c>
    </row>
    <row r="76" ht="15.75" customHeight="1">
      <c r="A76" s="19" t="s">
        <v>71</v>
      </c>
      <c r="B76" s="19">
        <v>63.3</v>
      </c>
    </row>
    <row r="77" ht="15.75" customHeight="1">
      <c r="A77" s="19" t="s">
        <v>101</v>
      </c>
      <c r="B77" s="19">
        <v>61.2</v>
      </c>
    </row>
    <row r="78" ht="15.75" customHeight="1">
      <c r="A78" s="19" t="s">
        <v>117</v>
      </c>
      <c r="B78" s="19">
        <v>60.8</v>
      </c>
    </row>
    <row r="79" ht="15.75" customHeight="1">
      <c r="A79" s="19" t="s">
        <v>112</v>
      </c>
      <c r="B79" s="19">
        <v>59.1</v>
      </c>
    </row>
    <row r="80" ht="15.75" customHeight="1">
      <c r="A80" s="19" t="s">
        <v>31</v>
      </c>
      <c r="B80" s="19">
        <v>58.6</v>
      </c>
    </row>
    <row r="81" ht="15.75" customHeight="1">
      <c r="A81" s="19" t="s">
        <v>30</v>
      </c>
      <c r="B81" s="19">
        <v>57.8</v>
      </c>
    </row>
    <row r="82" ht="15.75" customHeight="1">
      <c r="A82" s="19" t="s">
        <v>15</v>
      </c>
      <c r="B82" s="19">
        <v>57.5</v>
      </c>
    </row>
    <row r="83" ht="15.75" customHeight="1">
      <c r="A83" s="19" t="s">
        <v>61</v>
      </c>
      <c r="B83" s="19">
        <v>56.6</v>
      </c>
    </row>
    <row r="84" ht="15.75" customHeight="1">
      <c r="A84" s="19" t="s">
        <v>39</v>
      </c>
      <c r="B84" s="19">
        <v>55.3</v>
      </c>
    </row>
    <row r="85" ht="15.75" customHeight="1">
      <c r="A85" s="19" t="s">
        <v>72</v>
      </c>
      <c r="B85" s="19">
        <v>47.4</v>
      </c>
    </row>
    <row r="86" ht="15.75" customHeight="1">
      <c r="A86" s="19" t="s">
        <v>23</v>
      </c>
      <c r="B86" s="19">
        <v>45.8</v>
      </c>
    </row>
    <row r="87" ht="15.75" customHeight="1">
      <c r="A87" s="19" t="s">
        <v>80</v>
      </c>
      <c r="B87" s="19">
        <v>39.8</v>
      </c>
    </row>
    <row r="88" ht="15.75" customHeight="1">
      <c r="A88" s="19" t="s">
        <v>26</v>
      </c>
      <c r="B88" s="19">
        <v>36.0</v>
      </c>
    </row>
    <row r="89" ht="15.75" customHeight="1">
      <c r="A89" s="19" t="s">
        <v>36</v>
      </c>
      <c r="B89" s="5">
        <v>20.2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5" t="s">
        <v>252</v>
      </c>
      <c r="B1" s="25" t="s">
        <v>253</v>
      </c>
      <c r="C1" s="25" t="s">
        <v>254</v>
      </c>
      <c r="D1" s="25" t="s">
        <v>255</v>
      </c>
    </row>
    <row r="2" ht="15.75" customHeight="1">
      <c r="A2" s="26" t="s">
        <v>20</v>
      </c>
      <c r="B2" s="27" t="s">
        <v>256</v>
      </c>
      <c r="C2" s="27">
        <v>636.0</v>
      </c>
      <c r="D2" s="5">
        <f t="shared" ref="D2:D117" si="1">IF(B2="Very high proficiency",100,
 IF(B2="High proficiency",80,
 IF(B2="Moderate proficiency",60,
 IF(B2="Low proficiency",40,
 IF(B2="Very low proficiency",20)))))</f>
        <v>100</v>
      </c>
      <c r="F2" s="5" t="s">
        <v>257</v>
      </c>
      <c r="J2" s="5" t="s">
        <v>256</v>
      </c>
      <c r="K2" s="5">
        <v>100.0</v>
      </c>
    </row>
    <row r="3" ht="15.75" customHeight="1">
      <c r="A3" s="26" t="s">
        <v>21</v>
      </c>
      <c r="B3" s="27" t="s">
        <v>256</v>
      </c>
      <c r="C3" s="27">
        <v>610.0</v>
      </c>
      <c r="D3" s="5">
        <f t="shared" si="1"/>
        <v>100</v>
      </c>
      <c r="J3" s="5" t="s">
        <v>258</v>
      </c>
      <c r="K3" s="5">
        <v>80.0</v>
      </c>
    </row>
    <row r="4" ht="15.75" customHeight="1">
      <c r="A4" s="26" t="s">
        <v>15</v>
      </c>
      <c r="B4" s="27" t="s">
        <v>256</v>
      </c>
      <c r="C4" s="27">
        <v>609.0</v>
      </c>
      <c r="D4" s="5">
        <f t="shared" si="1"/>
        <v>100</v>
      </c>
      <c r="J4" s="5" t="s">
        <v>259</v>
      </c>
      <c r="K4" s="5">
        <v>60.0</v>
      </c>
    </row>
    <row r="5" ht="15.75" customHeight="1">
      <c r="A5" s="26" t="s">
        <v>29</v>
      </c>
      <c r="B5" s="27" t="s">
        <v>256</v>
      </c>
      <c r="C5" s="27">
        <v>608.0</v>
      </c>
      <c r="D5" s="5">
        <f t="shared" si="1"/>
        <v>100</v>
      </c>
      <c r="J5" s="5" t="s">
        <v>260</v>
      </c>
      <c r="K5" s="5">
        <v>40.0</v>
      </c>
    </row>
    <row r="6" ht="15.75" customHeight="1">
      <c r="A6" s="26" t="s">
        <v>51</v>
      </c>
      <c r="B6" s="27" t="s">
        <v>256</v>
      </c>
      <c r="C6" s="27">
        <v>607.0</v>
      </c>
      <c r="D6" s="5">
        <f t="shared" si="1"/>
        <v>100</v>
      </c>
      <c r="J6" s="5" t="s">
        <v>261</v>
      </c>
      <c r="K6" s="5">
        <v>20.0</v>
      </c>
    </row>
    <row r="7" ht="15.75" customHeight="1">
      <c r="A7" s="26" t="s">
        <v>56</v>
      </c>
      <c r="B7" s="27" t="s">
        <v>256</v>
      </c>
      <c r="C7" s="27">
        <v>605.0</v>
      </c>
      <c r="D7" s="5">
        <f t="shared" si="1"/>
        <v>100</v>
      </c>
    </row>
    <row r="8" ht="15.75" customHeight="1">
      <c r="A8" s="26" t="s">
        <v>17</v>
      </c>
      <c r="B8" s="27" t="s">
        <v>256</v>
      </c>
      <c r="C8" s="27">
        <v>603.0</v>
      </c>
      <c r="D8" s="5">
        <f t="shared" si="1"/>
        <v>100</v>
      </c>
    </row>
    <row r="9" ht="15.75" customHeight="1">
      <c r="A9" s="26" t="s">
        <v>62</v>
      </c>
      <c r="B9" s="27" t="s">
        <v>256</v>
      </c>
      <c r="C9" s="27">
        <v>602.0</v>
      </c>
      <c r="D9" s="5">
        <f t="shared" si="1"/>
        <v>100</v>
      </c>
    </row>
    <row r="10" ht="15.75" customHeight="1">
      <c r="A10" s="26" t="s">
        <v>34</v>
      </c>
      <c r="B10" s="27" t="s">
        <v>256</v>
      </c>
      <c r="C10" s="27">
        <v>600.0</v>
      </c>
      <c r="D10" s="5">
        <f t="shared" si="1"/>
        <v>100</v>
      </c>
    </row>
    <row r="11" ht="15.75" customHeight="1">
      <c r="A11" s="26" t="s">
        <v>28</v>
      </c>
      <c r="B11" s="27" t="s">
        <v>262</v>
      </c>
      <c r="C11" s="27">
        <v>598.0</v>
      </c>
      <c r="D11" s="5">
        <f t="shared" si="1"/>
        <v>80</v>
      </c>
    </row>
    <row r="12" ht="15.75" customHeight="1">
      <c r="A12" s="26" t="s">
        <v>53</v>
      </c>
      <c r="B12" s="27" t="s">
        <v>262</v>
      </c>
      <c r="C12" s="27">
        <v>594.0</v>
      </c>
      <c r="D12" s="5">
        <f t="shared" si="1"/>
        <v>80</v>
      </c>
    </row>
    <row r="13" ht="15.75" customHeight="1">
      <c r="A13" s="26" t="s">
        <v>60</v>
      </c>
      <c r="B13" s="27" t="s">
        <v>258</v>
      </c>
      <c r="C13" s="27">
        <v>593.0</v>
      </c>
      <c r="D13" s="5">
        <f t="shared" si="1"/>
        <v>80</v>
      </c>
    </row>
    <row r="14" ht="15.75" customHeight="1">
      <c r="A14" s="26" t="s">
        <v>33</v>
      </c>
      <c r="B14" s="27" t="s">
        <v>262</v>
      </c>
      <c r="C14" s="27">
        <v>592.0</v>
      </c>
      <c r="D14" s="5">
        <f t="shared" si="1"/>
        <v>80</v>
      </c>
    </row>
    <row r="15" ht="15.75" customHeight="1">
      <c r="A15" s="26" t="s">
        <v>31</v>
      </c>
      <c r="B15" s="27" t="s">
        <v>258</v>
      </c>
      <c r="C15" s="27">
        <v>590.0</v>
      </c>
      <c r="D15" s="5">
        <f t="shared" si="1"/>
        <v>80</v>
      </c>
    </row>
    <row r="16" ht="15.75" customHeight="1">
      <c r="A16" s="26" t="s">
        <v>49</v>
      </c>
      <c r="B16" s="27" t="s">
        <v>258</v>
      </c>
      <c r="C16" s="27">
        <v>588.0</v>
      </c>
      <c r="D16" s="5">
        <f t="shared" si="1"/>
        <v>80</v>
      </c>
    </row>
    <row r="17" ht="15.75" customHeight="1">
      <c r="A17" s="26" t="s">
        <v>57</v>
      </c>
      <c r="B17" s="27" t="s">
        <v>258</v>
      </c>
      <c r="C17" s="27">
        <v>586.0</v>
      </c>
      <c r="D17" s="5">
        <f t="shared" si="1"/>
        <v>80</v>
      </c>
    </row>
    <row r="18" ht="15.75" customHeight="1">
      <c r="A18" s="26" t="s">
        <v>58</v>
      </c>
      <c r="B18" s="27" t="s">
        <v>258</v>
      </c>
      <c r="C18" s="27">
        <v>585.0</v>
      </c>
      <c r="D18" s="5">
        <f t="shared" si="1"/>
        <v>80</v>
      </c>
    </row>
    <row r="19" ht="15.75" customHeight="1">
      <c r="A19" s="26" t="s">
        <v>54</v>
      </c>
      <c r="B19" s="27" t="s">
        <v>258</v>
      </c>
      <c r="C19" s="27">
        <v>584.0</v>
      </c>
      <c r="D19" s="5">
        <f t="shared" si="1"/>
        <v>80</v>
      </c>
    </row>
    <row r="20" ht="15.75" customHeight="1">
      <c r="A20" s="26" t="s">
        <v>106</v>
      </c>
      <c r="B20" s="27" t="s">
        <v>258</v>
      </c>
      <c r="C20" s="27">
        <v>581.0</v>
      </c>
      <c r="D20" s="5">
        <f t="shared" si="1"/>
        <v>80</v>
      </c>
    </row>
    <row r="21" ht="15.75" customHeight="1">
      <c r="A21" s="26" t="s">
        <v>47</v>
      </c>
      <c r="B21" s="27" t="s">
        <v>258</v>
      </c>
      <c r="C21" s="27">
        <v>578.0</v>
      </c>
      <c r="D21" s="5">
        <f t="shared" si="1"/>
        <v>80</v>
      </c>
    </row>
    <row r="22" ht="15.75" customHeight="1">
      <c r="A22" s="26" t="s">
        <v>13</v>
      </c>
      <c r="B22" s="27" t="s">
        <v>258</v>
      </c>
      <c r="C22" s="27">
        <v>576.0</v>
      </c>
      <c r="D22" s="5">
        <f t="shared" si="1"/>
        <v>80</v>
      </c>
    </row>
    <row r="23" ht="15.75" customHeight="1">
      <c r="A23" s="26" t="s">
        <v>101</v>
      </c>
      <c r="B23" s="27" t="s">
        <v>258</v>
      </c>
      <c r="C23" s="27">
        <v>570.0</v>
      </c>
      <c r="D23" s="5">
        <f t="shared" si="1"/>
        <v>80</v>
      </c>
    </row>
    <row r="24" ht="15.75" customHeight="1">
      <c r="A24" s="26" t="s">
        <v>52</v>
      </c>
      <c r="B24" s="27" t="s">
        <v>258</v>
      </c>
      <c r="C24" s="27">
        <v>569.0</v>
      </c>
      <c r="D24" s="5">
        <f t="shared" si="1"/>
        <v>80</v>
      </c>
    </row>
    <row r="25" ht="15.75" customHeight="1">
      <c r="A25" s="26" t="s">
        <v>69</v>
      </c>
      <c r="B25" s="27" t="s">
        <v>258</v>
      </c>
      <c r="C25" s="27">
        <v>568.0</v>
      </c>
      <c r="D25" s="5">
        <f t="shared" si="1"/>
        <v>80</v>
      </c>
    </row>
    <row r="26" ht="15.75" customHeight="1">
      <c r="A26" s="26" t="s">
        <v>45</v>
      </c>
      <c r="B26" s="27" t="s">
        <v>258</v>
      </c>
      <c r="C26" s="27">
        <v>567.0</v>
      </c>
      <c r="D26" s="5">
        <f t="shared" si="1"/>
        <v>80</v>
      </c>
    </row>
    <row r="27" ht="15.75" customHeight="1">
      <c r="A27" s="26" t="s">
        <v>61</v>
      </c>
      <c r="B27" s="27" t="s">
        <v>258</v>
      </c>
      <c r="C27" s="27">
        <v>566.0</v>
      </c>
      <c r="D27" s="5">
        <f t="shared" si="1"/>
        <v>80</v>
      </c>
    </row>
    <row r="28" ht="15.75" customHeight="1">
      <c r="A28" s="26" t="s">
        <v>233</v>
      </c>
      <c r="B28" s="27" t="s">
        <v>258</v>
      </c>
      <c r="C28" s="27">
        <v>563.0</v>
      </c>
      <c r="D28" s="5">
        <f t="shared" si="1"/>
        <v>80</v>
      </c>
    </row>
    <row r="29" ht="15.75" customHeight="1">
      <c r="A29" s="26" t="s">
        <v>85</v>
      </c>
      <c r="B29" s="27" t="s">
        <v>258</v>
      </c>
      <c r="C29" s="27">
        <v>562.0</v>
      </c>
      <c r="D29" s="5">
        <f t="shared" si="1"/>
        <v>80</v>
      </c>
    </row>
    <row r="30" ht="15.75" customHeight="1">
      <c r="A30" s="26" t="s">
        <v>43</v>
      </c>
      <c r="B30" s="27" t="s">
        <v>258</v>
      </c>
      <c r="C30" s="27">
        <v>558.0</v>
      </c>
      <c r="D30" s="5">
        <f t="shared" si="1"/>
        <v>80</v>
      </c>
    </row>
    <row r="31" ht="15.75" customHeight="1">
      <c r="A31" s="26" t="s">
        <v>117</v>
      </c>
      <c r="B31" s="27" t="s">
        <v>258</v>
      </c>
      <c r="C31" s="27">
        <v>557.0</v>
      </c>
      <c r="D31" s="5">
        <f t="shared" si="1"/>
        <v>80</v>
      </c>
    </row>
    <row r="32" ht="15.75" customHeight="1">
      <c r="A32" s="26" t="s">
        <v>12</v>
      </c>
      <c r="B32" s="27" t="s">
        <v>258</v>
      </c>
      <c r="C32" s="27">
        <v>550.0</v>
      </c>
      <c r="D32" s="5">
        <f t="shared" si="1"/>
        <v>80</v>
      </c>
    </row>
    <row r="33" ht="15.75" customHeight="1">
      <c r="A33" s="26" t="s">
        <v>19</v>
      </c>
      <c r="B33" s="27" t="s">
        <v>259</v>
      </c>
      <c r="C33" s="27">
        <v>549.0</v>
      </c>
      <c r="D33" s="5">
        <f t="shared" si="1"/>
        <v>60</v>
      </c>
    </row>
    <row r="34" ht="15.75" customHeight="1">
      <c r="A34" s="26" t="s">
        <v>156</v>
      </c>
      <c r="B34" s="27" t="s">
        <v>259</v>
      </c>
      <c r="C34" s="27">
        <v>545.0</v>
      </c>
      <c r="D34" s="5">
        <f t="shared" si="1"/>
        <v>60</v>
      </c>
    </row>
    <row r="35" ht="15.75" customHeight="1">
      <c r="A35" s="26" t="s">
        <v>86</v>
      </c>
      <c r="B35" s="27" t="s">
        <v>259</v>
      </c>
      <c r="C35" s="27">
        <v>543.0</v>
      </c>
      <c r="D35" s="5">
        <f t="shared" si="1"/>
        <v>60</v>
      </c>
    </row>
    <row r="36" ht="15.75" customHeight="1">
      <c r="A36" s="26" t="s">
        <v>82</v>
      </c>
      <c r="B36" s="27" t="s">
        <v>259</v>
      </c>
      <c r="C36" s="27">
        <v>539.0</v>
      </c>
      <c r="D36" s="5">
        <f t="shared" si="1"/>
        <v>60</v>
      </c>
    </row>
    <row r="37" ht="15.75" customHeight="1">
      <c r="A37" s="26" t="s">
        <v>42</v>
      </c>
      <c r="B37" s="27" t="s">
        <v>259</v>
      </c>
      <c r="C37" s="27">
        <v>538.0</v>
      </c>
      <c r="D37" s="5">
        <f t="shared" si="1"/>
        <v>60</v>
      </c>
    </row>
    <row r="38" ht="15.75" customHeight="1">
      <c r="A38" s="26" t="s">
        <v>63</v>
      </c>
      <c r="B38" s="27" t="s">
        <v>259</v>
      </c>
      <c r="C38" s="27">
        <v>538.0</v>
      </c>
      <c r="D38" s="5">
        <f t="shared" si="1"/>
        <v>60</v>
      </c>
    </row>
    <row r="39" ht="15.75" customHeight="1">
      <c r="A39" s="26" t="s">
        <v>84</v>
      </c>
      <c r="B39" s="27" t="s">
        <v>259</v>
      </c>
      <c r="C39" s="27">
        <v>537.0</v>
      </c>
      <c r="D39" s="5">
        <f t="shared" si="1"/>
        <v>60</v>
      </c>
    </row>
    <row r="40" ht="15.75" customHeight="1">
      <c r="A40" s="26" t="s">
        <v>79</v>
      </c>
      <c r="B40" s="27" t="s">
        <v>259</v>
      </c>
      <c r="C40" s="27">
        <v>536.0</v>
      </c>
      <c r="D40" s="5">
        <f t="shared" si="1"/>
        <v>60</v>
      </c>
    </row>
    <row r="41" ht="15.75" customHeight="1">
      <c r="A41" s="26" t="s">
        <v>92</v>
      </c>
      <c r="B41" s="27" t="s">
        <v>259</v>
      </c>
      <c r="C41" s="27">
        <v>535.0</v>
      </c>
      <c r="D41" s="5">
        <f t="shared" si="1"/>
        <v>60</v>
      </c>
    </row>
    <row r="42" ht="15.75" customHeight="1">
      <c r="A42" s="26" t="s">
        <v>64</v>
      </c>
      <c r="B42" s="27" t="s">
        <v>259</v>
      </c>
      <c r="C42" s="27">
        <v>534.0</v>
      </c>
      <c r="D42" s="5">
        <f t="shared" si="1"/>
        <v>60</v>
      </c>
    </row>
    <row r="43" ht="15.75" customHeight="1">
      <c r="A43" s="26" t="s">
        <v>113</v>
      </c>
      <c r="B43" s="27" t="s">
        <v>259</v>
      </c>
      <c r="C43" s="27">
        <v>534.0</v>
      </c>
      <c r="D43" s="5">
        <f t="shared" si="1"/>
        <v>60</v>
      </c>
    </row>
    <row r="44" ht="15.75" customHeight="1">
      <c r="A44" s="26" t="s">
        <v>78</v>
      </c>
      <c r="B44" s="27" t="s">
        <v>259</v>
      </c>
      <c r="C44" s="27">
        <v>533.0</v>
      </c>
      <c r="D44" s="5">
        <f t="shared" si="1"/>
        <v>60</v>
      </c>
    </row>
    <row r="45" ht="15.75" customHeight="1">
      <c r="A45" s="26" t="s">
        <v>72</v>
      </c>
      <c r="B45" s="27" t="s">
        <v>259</v>
      </c>
      <c r="C45" s="27">
        <v>532.0</v>
      </c>
      <c r="D45" s="5">
        <f t="shared" si="1"/>
        <v>60</v>
      </c>
    </row>
    <row r="46" ht="15.75" customHeight="1">
      <c r="A46" s="26" t="s">
        <v>100</v>
      </c>
      <c r="B46" s="27" t="s">
        <v>259</v>
      </c>
      <c r="C46" s="27">
        <v>531.0</v>
      </c>
      <c r="D46" s="5">
        <f t="shared" si="1"/>
        <v>60</v>
      </c>
    </row>
    <row r="47" ht="15.75" customHeight="1">
      <c r="A47" s="26" t="s">
        <v>44</v>
      </c>
      <c r="B47" s="27" t="s">
        <v>259</v>
      </c>
      <c r="C47" s="27">
        <v>528.0</v>
      </c>
      <c r="D47" s="5">
        <f t="shared" si="1"/>
        <v>60</v>
      </c>
    </row>
    <row r="48" ht="15.75" customHeight="1">
      <c r="A48" s="26" t="s">
        <v>150</v>
      </c>
      <c r="B48" s="27" t="s">
        <v>259</v>
      </c>
      <c r="C48" s="27">
        <v>525.0</v>
      </c>
      <c r="D48" s="5">
        <f t="shared" si="1"/>
        <v>60</v>
      </c>
    </row>
    <row r="49" ht="15.75" customHeight="1">
      <c r="A49" s="26" t="s">
        <v>65</v>
      </c>
      <c r="B49" s="27" t="s">
        <v>259</v>
      </c>
      <c r="C49" s="27">
        <v>525.0</v>
      </c>
      <c r="D49" s="5">
        <f t="shared" si="1"/>
        <v>60</v>
      </c>
    </row>
    <row r="50" ht="15.75" customHeight="1">
      <c r="A50" s="26" t="s">
        <v>35</v>
      </c>
      <c r="B50" s="27" t="s">
        <v>259</v>
      </c>
      <c r="C50" s="27">
        <v>524.0</v>
      </c>
      <c r="D50" s="5">
        <f t="shared" si="1"/>
        <v>60</v>
      </c>
    </row>
    <row r="51" ht="15.75" customHeight="1">
      <c r="A51" s="26" t="s">
        <v>37</v>
      </c>
      <c r="B51" s="27" t="s">
        <v>259</v>
      </c>
      <c r="C51" s="27">
        <v>523.0</v>
      </c>
      <c r="D51" s="5">
        <f t="shared" si="1"/>
        <v>60</v>
      </c>
    </row>
    <row r="52" ht="15.75" customHeight="1">
      <c r="A52" s="26" t="s">
        <v>27</v>
      </c>
      <c r="B52" s="27" t="s">
        <v>259</v>
      </c>
      <c r="C52" s="27">
        <v>522.0</v>
      </c>
      <c r="D52" s="5">
        <f t="shared" si="1"/>
        <v>60</v>
      </c>
    </row>
    <row r="53" ht="15.75" customHeight="1">
      <c r="A53" s="26" t="s">
        <v>125</v>
      </c>
      <c r="B53" s="27" t="s">
        <v>259</v>
      </c>
      <c r="C53" s="27">
        <v>520.0</v>
      </c>
      <c r="D53" s="5">
        <f t="shared" si="1"/>
        <v>60</v>
      </c>
    </row>
    <row r="54" ht="15.75" customHeight="1">
      <c r="A54" s="26" t="s">
        <v>87</v>
      </c>
      <c r="B54" s="27" t="s">
        <v>259</v>
      </c>
      <c r="C54" s="27">
        <v>519.0</v>
      </c>
      <c r="D54" s="5">
        <f t="shared" si="1"/>
        <v>60</v>
      </c>
    </row>
    <row r="55" ht="15.75" customHeight="1">
      <c r="A55" s="26" t="s">
        <v>115</v>
      </c>
      <c r="B55" s="27" t="s">
        <v>259</v>
      </c>
      <c r="C55" s="27">
        <v>518.0</v>
      </c>
      <c r="D55" s="5">
        <f t="shared" si="1"/>
        <v>60</v>
      </c>
    </row>
    <row r="56" ht="15.75" customHeight="1">
      <c r="A56" s="26" t="s">
        <v>263</v>
      </c>
      <c r="B56" s="27" t="s">
        <v>259</v>
      </c>
      <c r="C56" s="27">
        <v>513.0</v>
      </c>
      <c r="D56" s="5">
        <f t="shared" si="1"/>
        <v>60</v>
      </c>
    </row>
    <row r="57" ht="15.75" customHeight="1">
      <c r="A57" s="26" t="s">
        <v>111</v>
      </c>
      <c r="B57" s="27" t="s">
        <v>259</v>
      </c>
      <c r="C57" s="27">
        <v>512.0</v>
      </c>
      <c r="D57" s="5">
        <f t="shared" si="1"/>
        <v>60</v>
      </c>
    </row>
    <row r="58" ht="15.75" customHeight="1">
      <c r="A58" s="26" t="s">
        <v>110</v>
      </c>
      <c r="B58" s="27" t="s">
        <v>259</v>
      </c>
      <c r="C58" s="27">
        <v>510.0</v>
      </c>
      <c r="D58" s="5">
        <f t="shared" si="1"/>
        <v>60</v>
      </c>
    </row>
    <row r="59" ht="15.75" customHeight="1">
      <c r="A59" s="26" t="s">
        <v>143</v>
      </c>
      <c r="B59" s="27" t="s">
        <v>259</v>
      </c>
      <c r="C59" s="27">
        <v>507.0</v>
      </c>
      <c r="D59" s="5">
        <f t="shared" si="1"/>
        <v>60</v>
      </c>
    </row>
    <row r="60" ht="15.75" customHeight="1">
      <c r="A60" s="26" t="s">
        <v>131</v>
      </c>
      <c r="B60" s="27" t="s">
        <v>259</v>
      </c>
      <c r="C60" s="27">
        <v>505.0</v>
      </c>
      <c r="D60" s="5">
        <f t="shared" si="1"/>
        <v>60</v>
      </c>
    </row>
    <row r="61" ht="15.75" customHeight="1">
      <c r="A61" s="26" t="s">
        <v>97</v>
      </c>
      <c r="B61" s="27" t="s">
        <v>259</v>
      </c>
      <c r="C61" s="27">
        <v>503.0</v>
      </c>
      <c r="D61" s="5">
        <f t="shared" si="1"/>
        <v>60</v>
      </c>
    </row>
    <row r="62" ht="15.75" customHeight="1">
      <c r="A62" s="26" t="s">
        <v>108</v>
      </c>
      <c r="B62" s="27" t="s">
        <v>259</v>
      </c>
      <c r="C62" s="27">
        <v>500.0</v>
      </c>
      <c r="D62" s="5">
        <f t="shared" si="1"/>
        <v>60</v>
      </c>
    </row>
    <row r="63" ht="15.75" customHeight="1">
      <c r="A63" s="26" t="s">
        <v>109</v>
      </c>
      <c r="B63" s="27" t="s">
        <v>260</v>
      </c>
      <c r="C63" s="27">
        <v>499.0</v>
      </c>
      <c r="D63" s="5">
        <f t="shared" si="1"/>
        <v>40</v>
      </c>
    </row>
    <row r="64" ht="15.75" customHeight="1">
      <c r="A64" s="26" t="s">
        <v>130</v>
      </c>
      <c r="B64" s="27" t="s">
        <v>260</v>
      </c>
      <c r="C64" s="27">
        <v>498.0</v>
      </c>
      <c r="D64" s="5">
        <f t="shared" si="1"/>
        <v>40</v>
      </c>
    </row>
    <row r="65" ht="15.75" customHeight="1">
      <c r="A65" s="26" t="s">
        <v>96</v>
      </c>
      <c r="B65" s="27" t="s">
        <v>260</v>
      </c>
      <c r="C65" s="27">
        <v>498.0</v>
      </c>
      <c r="D65" s="5">
        <f t="shared" si="1"/>
        <v>40</v>
      </c>
    </row>
    <row r="66" ht="15.75" customHeight="1">
      <c r="A66" s="26" t="s">
        <v>73</v>
      </c>
      <c r="B66" s="27" t="s">
        <v>260</v>
      </c>
      <c r="C66" s="27">
        <v>497.0</v>
      </c>
      <c r="D66" s="5">
        <f t="shared" si="1"/>
        <v>40</v>
      </c>
    </row>
    <row r="67" ht="15.75" customHeight="1">
      <c r="A67" s="26" t="s">
        <v>105</v>
      </c>
      <c r="B67" s="27" t="s">
        <v>260</v>
      </c>
      <c r="C67" s="27">
        <v>496.0</v>
      </c>
      <c r="D67" s="5">
        <f t="shared" si="1"/>
        <v>40</v>
      </c>
    </row>
    <row r="68" ht="15.75" customHeight="1">
      <c r="A68" s="26" t="s">
        <v>114</v>
      </c>
      <c r="B68" s="27" t="s">
        <v>260</v>
      </c>
      <c r="C68" s="27">
        <v>493.0</v>
      </c>
      <c r="D68" s="5">
        <f t="shared" si="1"/>
        <v>40</v>
      </c>
    </row>
    <row r="69" ht="15.75" customHeight="1">
      <c r="A69" s="26" t="s">
        <v>83</v>
      </c>
      <c r="B69" s="27" t="s">
        <v>260</v>
      </c>
      <c r="C69" s="27">
        <v>492.0</v>
      </c>
      <c r="D69" s="5">
        <f t="shared" si="1"/>
        <v>40</v>
      </c>
    </row>
    <row r="70" ht="15.75" customHeight="1">
      <c r="A70" s="26" t="s">
        <v>71</v>
      </c>
      <c r="B70" s="27" t="s">
        <v>260</v>
      </c>
      <c r="C70" s="27">
        <v>490.0</v>
      </c>
      <c r="D70" s="5">
        <f t="shared" si="1"/>
        <v>40</v>
      </c>
    </row>
    <row r="71" ht="15.75" customHeight="1">
      <c r="A71" s="26" t="s">
        <v>23</v>
      </c>
      <c r="B71" s="27" t="s">
        <v>260</v>
      </c>
      <c r="C71" s="27">
        <v>489.0</v>
      </c>
      <c r="D71" s="5">
        <f t="shared" si="1"/>
        <v>40</v>
      </c>
    </row>
    <row r="72" ht="15.75" customHeight="1">
      <c r="A72" s="26" t="s">
        <v>66</v>
      </c>
      <c r="B72" s="27" t="s">
        <v>260</v>
      </c>
      <c r="C72" s="27">
        <v>488.0</v>
      </c>
      <c r="D72" s="5">
        <f t="shared" si="1"/>
        <v>40</v>
      </c>
    </row>
    <row r="73" ht="15.75" customHeight="1">
      <c r="A73" s="26" t="s">
        <v>137</v>
      </c>
      <c r="B73" s="27" t="s">
        <v>260</v>
      </c>
      <c r="C73" s="27">
        <v>487.0</v>
      </c>
      <c r="D73" s="5">
        <f t="shared" si="1"/>
        <v>40</v>
      </c>
    </row>
    <row r="74" ht="15.75" customHeight="1">
      <c r="A74" s="26" t="s">
        <v>112</v>
      </c>
      <c r="B74" s="27" t="s">
        <v>260</v>
      </c>
      <c r="C74" s="27">
        <v>486.0</v>
      </c>
      <c r="D74" s="5">
        <f t="shared" si="1"/>
        <v>40</v>
      </c>
    </row>
    <row r="75" ht="15.75" customHeight="1">
      <c r="A75" s="26" t="s">
        <v>98</v>
      </c>
      <c r="B75" s="27" t="s">
        <v>260</v>
      </c>
      <c r="C75" s="27">
        <v>485.0</v>
      </c>
      <c r="D75" s="5">
        <f t="shared" si="1"/>
        <v>40</v>
      </c>
    </row>
    <row r="76" ht="15.75" customHeight="1">
      <c r="A76" s="26" t="s">
        <v>26</v>
      </c>
      <c r="B76" s="27" t="s">
        <v>260</v>
      </c>
      <c r="C76" s="27">
        <v>480.0</v>
      </c>
      <c r="D76" s="5">
        <f t="shared" si="1"/>
        <v>40</v>
      </c>
    </row>
    <row r="77" ht="15.75" customHeight="1">
      <c r="A77" s="26" t="s">
        <v>93</v>
      </c>
      <c r="B77" s="27" t="s">
        <v>260</v>
      </c>
      <c r="C77" s="27">
        <v>479.0</v>
      </c>
      <c r="D77" s="5">
        <f t="shared" si="1"/>
        <v>40</v>
      </c>
    </row>
    <row r="78" ht="15.75" customHeight="1">
      <c r="A78" s="26" t="s">
        <v>155</v>
      </c>
      <c r="B78" s="27" t="s">
        <v>260</v>
      </c>
      <c r="C78" s="27">
        <v>473.0</v>
      </c>
      <c r="D78" s="5">
        <f t="shared" si="1"/>
        <v>40</v>
      </c>
    </row>
    <row r="79" ht="15.75" customHeight="1">
      <c r="A79" s="26" t="s">
        <v>107</v>
      </c>
      <c r="B79" s="27" t="s">
        <v>260</v>
      </c>
      <c r="C79" s="27">
        <v>471.0</v>
      </c>
      <c r="D79" s="5">
        <f t="shared" si="1"/>
        <v>40</v>
      </c>
    </row>
    <row r="80" ht="15.75" customHeight="1">
      <c r="A80" s="26" t="s">
        <v>146</v>
      </c>
      <c r="B80" s="27" t="s">
        <v>260</v>
      </c>
      <c r="C80" s="27">
        <v>469.0</v>
      </c>
      <c r="D80" s="5">
        <f t="shared" si="1"/>
        <v>40</v>
      </c>
    </row>
    <row r="81" ht="15.75" customHeight="1">
      <c r="A81" s="26" t="s">
        <v>104</v>
      </c>
      <c r="B81" s="27" t="s">
        <v>260</v>
      </c>
      <c r="C81" s="27">
        <v>468.0</v>
      </c>
      <c r="D81" s="5">
        <f t="shared" si="1"/>
        <v>40</v>
      </c>
    </row>
    <row r="82" ht="15.75" customHeight="1">
      <c r="A82" s="26" t="s">
        <v>89</v>
      </c>
      <c r="B82" s="27" t="s">
        <v>260</v>
      </c>
      <c r="C82" s="27">
        <v>466.0</v>
      </c>
      <c r="D82" s="5">
        <f t="shared" si="1"/>
        <v>40</v>
      </c>
    </row>
    <row r="83" ht="15.75" customHeight="1">
      <c r="A83" s="26" t="s">
        <v>90</v>
      </c>
      <c r="B83" s="27" t="s">
        <v>260</v>
      </c>
      <c r="C83" s="27">
        <v>465.0</v>
      </c>
      <c r="D83" s="5">
        <f t="shared" si="1"/>
        <v>40</v>
      </c>
    </row>
    <row r="84" ht="15.75" customHeight="1">
      <c r="A84" s="26" t="s">
        <v>116</v>
      </c>
      <c r="B84" s="27" t="s">
        <v>260</v>
      </c>
      <c r="C84" s="27">
        <v>465.0</v>
      </c>
      <c r="D84" s="5">
        <f t="shared" si="1"/>
        <v>40</v>
      </c>
    </row>
    <row r="85" ht="15.75" customHeight="1">
      <c r="A85" s="26" t="s">
        <v>134</v>
      </c>
      <c r="B85" s="27" t="s">
        <v>260</v>
      </c>
      <c r="C85" s="27">
        <v>464.0</v>
      </c>
      <c r="D85" s="5">
        <f t="shared" si="1"/>
        <v>40</v>
      </c>
    </row>
    <row r="86" ht="15.75" customHeight="1">
      <c r="A86" s="26" t="s">
        <v>210</v>
      </c>
      <c r="B86" s="27" t="s">
        <v>260</v>
      </c>
      <c r="C86" s="27">
        <v>463.0</v>
      </c>
      <c r="D86" s="5">
        <f t="shared" si="1"/>
        <v>40</v>
      </c>
    </row>
    <row r="87" ht="15.75" customHeight="1">
      <c r="A87" s="26" t="s">
        <v>95</v>
      </c>
      <c r="B87" s="27" t="s">
        <v>260</v>
      </c>
      <c r="C87" s="27">
        <v>462.0</v>
      </c>
      <c r="D87" s="5">
        <f t="shared" si="1"/>
        <v>40</v>
      </c>
    </row>
    <row r="88" ht="15.75" customHeight="1">
      <c r="A88" s="26" t="s">
        <v>70</v>
      </c>
      <c r="B88" s="27" t="s">
        <v>260</v>
      </c>
      <c r="C88" s="27">
        <v>459.0</v>
      </c>
      <c r="D88" s="5">
        <f t="shared" si="1"/>
        <v>40</v>
      </c>
    </row>
    <row r="89" ht="15.75" customHeight="1">
      <c r="A89" s="26" t="s">
        <v>99</v>
      </c>
      <c r="B89" s="27" t="s">
        <v>260</v>
      </c>
      <c r="C89" s="27">
        <v>457.0</v>
      </c>
      <c r="D89" s="5">
        <f t="shared" si="1"/>
        <v>40</v>
      </c>
    </row>
    <row r="90" ht="15.75" customHeight="1">
      <c r="A90" s="26" t="s">
        <v>264</v>
      </c>
      <c r="B90" s="27" t="s">
        <v>260</v>
      </c>
      <c r="C90" s="27">
        <v>456.0</v>
      </c>
      <c r="D90" s="5">
        <f t="shared" si="1"/>
        <v>40</v>
      </c>
    </row>
    <row r="91" ht="15.75" customHeight="1">
      <c r="A91" s="26" t="s">
        <v>36</v>
      </c>
      <c r="B91" s="27" t="s">
        <v>260</v>
      </c>
      <c r="C91" s="27">
        <v>456.0</v>
      </c>
      <c r="D91" s="5">
        <f t="shared" si="1"/>
        <v>40</v>
      </c>
    </row>
    <row r="92" ht="15.75" customHeight="1">
      <c r="A92" s="26" t="s">
        <v>59</v>
      </c>
      <c r="B92" s="27" t="s">
        <v>260</v>
      </c>
      <c r="C92" s="27">
        <v>455.0</v>
      </c>
      <c r="D92" s="5">
        <f t="shared" si="1"/>
        <v>40</v>
      </c>
    </row>
    <row r="93" ht="15.75" customHeight="1">
      <c r="A93" s="26" t="s">
        <v>40</v>
      </c>
      <c r="B93" s="27" t="s">
        <v>260</v>
      </c>
      <c r="C93" s="27">
        <v>454.0</v>
      </c>
      <c r="D93" s="5">
        <f t="shared" si="1"/>
        <v>40</v>
      </c>
    </row>
    <row r="94" ht="15.75" customHeight="1">
      <c r="A94" s="26" t="s">
        <v>132</v>
      </c>
      <c r="B94" s="27" t="s">
        <v>261</v>
      </c>
      <c r="C94" s="27">
        <v>449.0</v>
      </c>
      <c r="D94" s="5">
        <f t="shared" si="1"/>
        <v>20</v>
      </c>
    </row>
    <row r="95" ht="15.75" customHeight="1">
      <c r="A95" s="26" t="s">
        <v>126</v>
      </c>
      <c r="B95" s="27" t="s">
        <v>261</v>
      </c>
      <c r="C95" s="27">
        <v>448.0</v>
      </c>
      <c r="D95" s="5">
        <f t="shared" si="1"/>
        <v>20</v>
      </c>
    </row>
    <row r="96" ht="15.75" customHeight="1">
      <c r="A96" s="26" t="s">
        <v>157</v>
      </c>
      <c r="B96" s="27" t="s">
        <v>261</v>
      </c>
      <c r="C96" s="27">
        <v>447.0</v>
      </c>
      <c r="D96" s="5">
        <f t="shared" si="1"/>
        <v>20</v>
      </c>
    </row>
    <row r="97" ht="15.75" customHeight="1">
      <c r="A97" s="26" t="s">
        <v>211</v>
      </c>
      <c r="B97" s="27" t="s">
        <v>261</v>
      </c>
      <c r="C97" s="27">
        <v>447.0</v>
      </c>
      <c r="D97" s="5">
        <f t="shared" si="1"/>
        <v>20</v>
      </c>
    </row>
    <row r="98" ht="15.75" customHeight="1">
      <c r="A98" s="26" t="s">
        <v>151</v>
      </c>
      <c r="B98" s="27" t="s">
        <v>261</v>
      </c>
      <c r="C98" s="27">
        <v>445.0</v>
      </c>
      <c r="D98" s="5">
        <f t="shared" si="1"/>
        <v>20</v>
      </c>
    </row>
    <row r="99" ht="15.75" customHeight="1">
      <c r="A99" s="26" t="s">
        <v>94</v>
      </c>
      <c r="B99" s="27" t="s">
        <v>261</v>
      </c>
      <c r="C99" s="27">
        <v>439.0</v>
      </c>
      <c r="D99" s="5">
        <f t="shared" si="1"/>
        <v>20</v>
      </c>
    </row>
    <row r="100" ht="15.75" customHeight="1">
      <c r="A100" s="26" t="s">
        <v>158</v>
      </c>
      <c r="B100" s="27" t="s">
        <v>261</v>
      </c>
      <c r="C100" s="27">
        <v>432.0</v>
      </c>
      <c r="D100" s="5">
        <f t="shared" si="1"/>
        <v>20</v>
      </c>
    </row>
    <row r="101" ht="15.75" customHeight="1">
      <c r="A101" s="26" t="s">
        <v>128</v>
      </c>
      <c r="B101" s="27" t="s">
        <v>261</v>
      </c>
      <c r="C101" s="27">
        <v>432.0</v>
      </c>
      <c r="D101" s="5">
        <f t="shared" si="1"/>
        <v>20</v>
      </c>
    </row>
    <row r="102" ht="15.75" customHeight="1">
      <c r="A102" s="26" t="s">
        <v>76</v>
      </c>
      <c r="B102" s="27" t="s">
        <v>261</v>
      </c>
      <c r="C102" s="27">
        <v>431.0</v>
      </c>
      <c r="D102" s="5">
        <f t="shared" si="1"/>
        <v>20</v>
      </c>
    </row>
    <row r="103" ht="15.75" customHeight="1">
      <c r="A103" s="26" t="s">
        <v>225</v>
      </c>
      <c r="B103" s="27" t="s">
        <v>261</v>
      </c>
      <c r="C103" s="27">
        <v>429.0</v>
      </c>
      <c r="D103" s="5">
        <f t="shared" si="1"/>
        <v>20</v>
      </c>
    </row>
    <row r="104" ht="15.75" customHeight="1">
      <c r="A104" s="26" t="s">
        <v>80</v>
      </c>
      <c r="B104" s="27" t="s">
        <v>261</v>
      </c>
      <c r="C104" s="27">
        <v>427.0</v>
      </c>
      <c r="D104" s="5">
        <f t="shared" si="1"/>
        <v>20</v>
      </c>
    </row>
    <row r="105" ht="15.75" customHeight="1">
      <c r="A105" s="26" t="s">
        <v>41</v>
      </c>
      <c r="B105" s="27" t="s">
        <v>261</v>
      </c>
      <c r="C105" s="27">
        <v>421.0</v>
      </c>
      <c r="D105" s="5">
        <f t="shared" si="1"/>
        <v>20</v>
      </c>
    </row>
    <row r="106" ht="15.75" customHeight="1">
      <c r="A106" s="26" t="s">
        <v>39</v>
      </c>
      <c r="B106" s="27" t="s">
        <v>261</v>
      </c>
      <c r="C106" s="27">
        <v>417.0</v>
      </c>
      <c r="D106" s="5">
        <f t="shared" si="1"/>
        <v>20</v>
      </c>
    </row>
    <row r="107" ht="15.75" customHeight="1">
      <c r="A107" s="26" t="s">
        <v>81</v>
      </c>
      <c r="B107" s="27" t="s">
        <v>261</v>
      </c>
      <c r="C107" s="27">
        <v>415.0</v>
      </c>
      <c r="D107" s="5">
        <f t="shared" si="1"/>
        <v>20</v>
      </c>
    </row>
    <row r="108" ht="15.75" customHeight="1">
      <c r="A108" s="26" t="s">
        <v>91</v>
      </c>
      <c r="B108" s="27" t="s">
        <v>261</v>
      </c>
      <c r="C108" s="27">
        <v>414.0</v>
      </c>
      <c r="D108" s="5">
        <f t="shared" si="1"/>
        <v>20</v>
      </c>
    </row>
    <row r="109" ht="15.75" customHeight="1">
      <c r="A109" s="26" t="s">
        <v>174</v>
      </c>
      <c r="B109" s="27" t="s">
        <v>261</v>
      </c>
      <c r="C109" s="27">
        <v>413.0</v>
      </c>
      <c r="D109" s="5">
        <f t="shared" si="1"/>
        <v>20</v>
      </c>
    </row>
    <row r="110" ht="15.75" customHeight="1">
      <c r="A110" s="26" t="s">
        <v>236</v>
      </c>
      <c r="B110" s="27" t="s">
        <v>261</v>
      </c>
      <c r="C110" s="27">
        <v>412.0</v>
      </c>
      <c r="D110" s="5">
        <f t="shared" si="1"/>
        <v>20</v>
      </c>
    </row>
    <row r="111" ht="15.75" customHeight="1">
      <c r="A111" s="26" t="s">
        <v>153</v>
      </c>
      <c r="B111" s="27" t="s">
        <v>261</v>
      </c>
      <c r="C111" s="27">
        <v>409.0</v>
      </c>
      <c r="D111" s="5">
        <f t="shared" si="1"/>
        <v>20</v>
      </c>
    </row>
    <row r="112" ht="15.75" customHeight="1">
      <c r="A112" s="26" t="s">
        <v>133</v>
      </c>
      <c r="B112" s="27" t="s">
        <v>261</v>
      </c>
      <c r="C112" s="27">
        <v>408.0</v>
      </c>
      <c r="D112" s="5">
        <f t="shared" si="1"/>
        <v>20</v>
      </c>
    </row>
    <row r="113" ht="15.75" customHeight="1">
      <c r="A113" s="26" t="s">
        <v>103</v>
      </c>
      <c r="B113" s="27" t="s">
        <v>261</v>
      </c>
      <c r="C113" s="27">
        <v>405.0</v>
      </c>
      <c r="D113" s="5">
        <f t="shared" si="1"/>
        <v>20</v>
      </c>
    </row>
    <row r="114" ht="15.75" customHeight="1">
      <c r="A114" s="26" t="s">
        <v>122</v>
      </c>
      <c r="B114" s="27" t="s">
        <v>261</v>
      </c>
      <c r="C114" s="27">
        <v>401.0</v>
      </c>
      <c r="D114" s="5">
        <f t="shared" si="1"/>
        <v>20</v>
      </c>
    </row>
    <row r="115" ht="15.75" customHeight="1">
      <c r="A115" s="26" t="s">
        <v>265</v>
      </c>
      <c r="B115" s="27" t="s">
        <v>261</v>
      </c>
      <c r="C115" s="27">
        <v>399.0</v>
      </c>
      <c r="D115" s="5">
        <f t="shared" si="1"/>
        <v>20</v>
      </c>
    </row>
    <row r="116" ht="15.75" customHeight="1">
      <c r="A116" s="26" t="s">
        <v>149</v>
      </c>
      <c r="B116" s="27" t="s">
        <v>261</v>
      </c>
      <c r="C116" s="27">
        <v>399.0</v>
      </c>
      <c r="D116" s="5">
        <f t="shared" si="1"/>
        <v>20</v>
      </c>
    </row>
    <row r="117" ht="15.75" customHeight="1">
      <c r="A117" s="26" t="s">
        <v>148</v>
      </c>
      <c r="B117" s="27" t="s">
        <v>261</v>
      </c>
      <c r="C117" s="27">
        <v>394.0</v>
      </c>
      <c r="D117" s="5">
        <f t="shared" si="1"/>
        <v>20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</hyperlinks>
  <printOptions/>
  <pageMargins bottom="0.75" footer="0.0" header="0.0" left="0.7" right="0.7" top="0.75"/>
  <pageSetup orientation="landscape"/>
  <drawing r:id="rId1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266</v>
      </c>
      <c r="B1" s="5" t="s">
        <v>267</v>
      </c>
      <c r="C1" s="5" t="s">
        <v>268</v>
      </c>
    </row>
    <row r="2" ht="15.75" customHeight="1">
      <c r="A2" s="5" t="s">
        <v>64</v>
      </c>
      <c r="B2" s="5">
        <v>1.0</v>
      </c>
      <c r="C2" s="5" t="s">
        <v>269</v>
      </c>
    </row>
    <row r="3" ht="15.75" customHeight="1">
      <c r="A3" s="5" t="s">
        <v>70</v>
      </c>
      <c r="B3" s="5">
        <v>2.0</v>
      </c>
    </row>
    <row r="4" ht="15.75" customHeight="1">
      <c r="A4" s="5" t="s">
        <v>101</v>
      </c>
      <c r="B4" s="5">
        <v>3.0</v>
      </c>
    </row>
    <row r="5" ht="15.75" customHeight="1">
      <c r="A5" s="5" t="s">
        <v>104</v>
      </c>
      <c r="B5" s="5">
        <v>4.0</v>
      </c>
    </row>
    <row r="6" ht="15.75" customHeight="1">
      <c r="A6" s="5" t="s">
        <v>89</v>
      </c>
      <c r="B6" s="5">
        <v>5.0</v>
      </c>
    </row>
    <row r="7" ht="15.75" customHeight="1">
      <c r="A7" s="5" t="s">
        <v>81</v>
      </c>
      <c r="B7" s="5">
        <v>6.0</v>
      </c>
    </row>
    <row r="8" ht="15.75" customHeight="1">
      <c r="A8" s="5" t="s">
        <v>66</v>
      </c>
      <c r="B8" s="5">
        <v>7.0</v>
      </c>
    </row>
    <row r="9" ht="15.75" customHeight="1">
      <c r="A9" s="5" t="s">
        <v>98</v>
      </c>
      <c r="B9" s="5">
        <v>8.0</v>
      </c>
    </row>
    <row r="10" ht="15.75" customHeight="1">
      <c r="A10" s="5" t="s">
        <v>106</v>
      </c>
      <c r="B10" s="5">
        <v>9.0</v>
      </c>
    </row>
    <row r="11" ht="15.75" customHeight="1">
      <c r="A11" s="5" t="s">
        <v>62</v>
      </c>
      <c r="B11" s="5">
        <v>10.0</v>
      </c>
    </row>
    <row r="12" ht="15.75" customHeight="1">
      <c r="A12" s="5" t="s">
        <v>42</v>
      </c>
      <c r="B12" s="5">
        <v>11.0</v>
      </c>
    </row>
    <row r="13" ht="15.75" customHeight="1">
      <c r="A13" s="5" t="s">
        <v>41</v>
      </c>
      <c r="B13" s="5">
        <v>12.0</v>
      </c>
    </row>
    <row r="14" ht="15.75" customHeight="1">
      <c r="A14" s="5" t="s">
        <v>96</v>
      </c>
      <c r="B14" s="5">
        <v>13.0</v>
      </c>
    </row>
    <row r="15" ht="15.75" customHeight="1">
      <c r="A15" s="5" t="s">
        <v>116</v>
      </c>
      <c r="B15" s="5">
        <v>14.0</v>
      </c>
    </row>
    <row r="16" ht="15.75" customHeight="1">
      <c r="A16" s="5" t="s">
        <v>56</v>
      </c>
      <c r="B16" s="5">
        <v>15.0</v>
      </c>
    </row>
    <row r="17" ht="15.75" customHeight="1">
      <c r="A17" s="5" t="s">
        <v>23</v>
      </c>
      <c r="B17" s="5">
        <v>16.0</v>
      </c>
    </row>
    <row r="18" ht="15.75" customHeight="1">
      <c r="A18" s="5" t="s">
        <v>43</v>
      </c>
      <c r="B18" s="5">
        <v>17.0</v>
      </c>
    </row>
    <row r="19" ht="15.75" customHeight="1">
      <c r="A19" s="5" t="s">
        <v>32</v>
      </c>
      <c r="B19" s="5">
        <v>18.0</v>
      </c>
    </row>
    <row r="20" ht="15.75" customHeight="1">
      <c r="A20" s="5" t="s">
        <v>59</v>
      </c>
      <c r="B20" s="5">
        <v>19.0</v>
      </c>
    </row>
    <row r="21" ht="15.75" customHeight="1">
      <c r="A21" s="5" t="s">
        <v>18</v>
      </c>
      <c r="B21" s="5">
        <v>20.0</v>
      </c>
    </row>
    <row r="22" ht="15.75" customHeight="1">
      <c r="A22" s="5" t="s">
        <v>24</v>
      </c>
      <c r="B22" s="5">
        <v>21.0</v>
      </c>
    </row>
    <row r="23" ht="15.75" customHeight="1">
      <c r="A23" s="5" t="s">
        <v>26</v>
      </c>
      <c r="B23" s="5">
        <v>22.0</v>
      </c>
    </row>
    <row r="24" ht="15.75" customHeight="1">
      <c r="A24" s="5" t="s">
        <v>53</v>
      </c>
      <c r="B24" s="5">
        <v>23.0</v>
      </c>
    </row>
    <row r="25" ht="15.75" customHeight="1">
      <c r="A25" s="5" t="s">
        <v>61</v>
      </c>
      <c r="B25" s="5">
        <v>24.0</v>
      </c>
    </row>
    <row r="26" ht="15.75" customHeight="1">
      <c r="A26" s="5" t="s">
        <v>39</v>
      </c>
      <c r="B26" s="5">
        <v>25.0</v>
      </c>
    </row>
    <row r="27" ht="15.75" customHeight="1">
      <c r="A27" s="5" t="s">
        <v>71</v>
      </c>
      <c r="B27" s="5">
        <v>26.0</v>
      </c>
    </row>
    <row r="28" ht="15.75" customHeight="1">
      <c r="A28" s="5" t="s">
        <v>19</v>
      </c>
      <c r="B28" s="5">
        <v>27.0</v>
      </c>
    </row>
    <row r="29" ht="15.75" customHeight="1">
      <c r="A29" s="5" t="s">
        <v>14</v>
      </c>
      <c r="B29" s="5">
        <v>28.0</v>
      </c>
    </row>
    <row r="30" ht="15.75" customHeight="1">
      <c r="A30" s="5" t="s">
        <v>25</v>
      </c>
      <c r="B30" s="5">
        <v>29.0</v>
      </c>
    </row>
    <row r="31" ht="15.75" customHeight="1">
      <c r="A31" s="5" t="s">
        <v>15</v>
      </c>
      <c r="B31" s="5">
        <v>30.0</v>
      </c>
    </row>
    <row r="32" ht="15.75" customHeight="1">
      <c r="A32" s="5" t="s">
        <v>33</v>
      </c>
      <c r="B32" s="5">
        <v>31.0</v>
      </c>
    </row>
    <row r="33" ht="15.75" customHeight="1">
      <c r="A33" s="5" t="s">
        <v>50</v>
      </c>
      <c r="B33" s="5">
        <v>32.0</v>
      </c>
    </row>
    <row r="34" ht="15.75" customHeight="1">
      <c r="A34" s="5" t="s">
        <v>44</v>
      </c>
      <c r="B34" s="5">
        <v>33.0</v>
      </c>
    </row>
    <row r="35" ht="15.75" customHeight="1">
      <c r="A35" s="5" t="s">
        <v>35</v>
      </c>
      <c r="B35" s="5">
        <v>34.0</v>
      </c>
    </row>
    <row r="36" ht="15.75" customHeight="1">
      <c r="A36" s="5" t="s">
        <v>40</v>
      </c>
      <c r="B36" s="5">
        <v>35.0</v>
      </c>
    </row>
    <row r="37" ht="15.75" customHeight="1">
      <c r="A37" s="5" t="s">
        <v>37</v>
      </c>
      <c r="B37" s="5">
        <v>36.0</v>
      </c>
    </row>
    <row r="38" ht="15.75" customHeight="1">
      <c r="A38" s="5" t="s">
        <v>49</v>
      </c>
      <c r="B38" s="5">
        <v>37.0</v>
      </c>
    </row>
    <row r="39" ht="15.75" customHeight="1">
      <c r="A39" s="5" t="s">
        <v>13</v>
      </c>
      <c r="B39" s="5">
        <v>38.0</v>
      </c>
    </row>
    <row r="40" ht="15.75" customHeight="1">
      <c r="A40" s="5" t="s">
        <v>30</v>
      </c>
      <c r="B40" s="5">
        <v>39.0</v>
      </c>
    </row>
    <row r="41" ht="15.75" customHeight="1">
      <c r="A41" s="5" t="s">
        <v>73</v>
      </c>
      <c r="B41" s="5">
        <v>40.0</v>
      </c>
    </row>
    <row r="42" ht="15.75" customHeight="1">
      <c r="A42" s="5" t="s">
        <v>20</v>
      </c>
      <c r="B42" s="5">
        <v>41.0</v>
      </c>
    </row>
    <row r="43" ht="15.75" customHeight="1">
      <c r="A43" s="5" t="s">
        <v>22</v>
      </c>
      <c r="B43" s="5">
        <v>42.0</v>
      </c>
    </row>
    <row r="44" ht="15.75" customHeight="1">
      <c r="A44" s="5" t="s">
        <v>65</v>
      </c>
      <c r="B44" s="5">
        <v>43.0</v>
      </c>
    </row>
    <row r="45" ht="15.75" customHeight="1">
      <c r="A45" s="5" t="s">
        <v>58</v>
      </c>
      <c r="B45" s="5">
        <v>44.0</v>
      </c>
    </row>
    <row r="46" ht="15.75" customHeight="1">
      <c r="A46" s="5" t="s">
        <v>17</v>
      </c>
      <c r="B46" s="5">
        <v>45.0</v>
      </c>
    </row>
    <row r="47" ht="15.75" customHeight="1">
      <c r="A47" s="5" t="s">
        <v>12</v>
      </c>
      <c r="B47" s="5">
        <v>46.0</v>
      </c>
    </row>
    <row r="48" ht="15.75" customHeight="1">
      <c r="A48" s="5" t="s">
        <v>45</v>
      </c>
      <c r="B48" s="5">
        <v>47.0</v>
      </c>
    </row>
    <row r="49" ht="15.75" customHeight="1">
      <c r="A49" s="5" t="s">
        <v>29</v>
      </c>
      <c r="B49" s="5">
        <v>48.0</v>
      </c>
    </row>
    <row r="50" ht="15.75" customHeight="1">
      <c r="A50" s="5" t="s">
        <v>34</v>
      </c>
      <c r="B50" s="5">
        <v>49.0</v>
      </c>
    </row>
    <row r="51" ht="15.75" customHeight="1">
      <c r="A51" s="5" t="s">
        <v>31</v>
      </c>
      <c r="B51" s="5">
        <v>50.0</v>
      </c>
    </row>
    <row r="52" ht="15.75" customHeight="1">
      <c r="A52" s="5" t="s">
        <v>28</v>
      </c>
      <c r="B52" s="5">
        <v>51.0</v>
      </c>
    </row>
    <row r="53" ht="15.75" customHeight="1">
      <c r="A53" s="5" t="s">
        <v>21</v>
      </c>
      <c r="B53" s="5">
        <v>52.0</v>
      </c>
    </row>
    <row r="54" ht="15.75" customHeight="1">
      <c r="A54" s="5" t="s">
        <v>36</v>
      </c>
      <c r="B54" s="5">
        <v>53.0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0" t="s">
        <v>0</v>
      </c>
      <c r="B1" s="20" t="s">
        <v>270</v>
      </c>
      <c r="C1" s="5" t="s">
        <v>271</v>
      </c>
    </row>
    <row r="2" ht="15.75" customHeight="1">
      <c r="A2" s="5" t="s">
        <v>62</v>
      </c>
      <c r="B2" s="5">
        <v>1.0</v>
      </c>
      <c r="C2" s="5" t="s">
        <v>272</v>
      </c>
    </row>
    <row r="3" ht="15.75" customHeight="1">
      <c r="A3" s="5" t="s">
        <v>24</v>
      </c>
      <c r="B3" s="5">
        <v>2.0</v>
      </c>
    </row>
    <row r="4" ht="15.75" customHeight="1">
      <c r="A4" s="5" t="s">
        <v>44</v>
      </c>
      <c r="B4" s="5">
        <v>3.0</v>
      </c>
    </row>
    <row r="5" ht="15.75" customHeight="1">
      <c r="A5" s="5" t="s">
        <v>12</v>
      </c>
      <c r="B5" s="5">
        <v>4.0</v>
      </c>
    </row>
    <row r="6" ht="15.75" customHeight="1">
      <c r="A6" s="5" t="s">
        <v>42</v>
      </c>
      <c r="B6" s="5">
        <v>5.0</v>
      </c>
    </row>
    <row r="7" ht="15.75" customHeight="1">
      <c r="A7" s="5" t="s">
        <v>81</v>
      </c>
      <c r="B7" s="5">
        <v>6.0</v>
      </c>
    </row>
    <row r="8" ht="15.75" customHeight="1">
      <c r="A8" s="5" t="s">
        <v>21</v>
      </c>
      <c r="B8" s="5">
        <v>7.0</v>
      </c>
    </row>
    <row r="9" ht="15.75" customHeight="1">
      <c r="A9" s="5" t="s">
        <v>16</v>
      </c>
      <c r="B9" s="5">
        <v>8.0</v>
      </c>
    </row>
    <row r="10" ht="15.75" customHeight="1">
      <c r="A10" s="5" t="s">
        <v>18</v>
      </c>
      <c r="B10" s="5">
        <v>9.0</v>
      </c>
    </row>
    <row r="11" ht="15.75" customHeight="1">
      <c r="A11" s="5" t="s">
        <v>34</v>
      </c>
      <c r="B11" s="5">
        <v>10.0</v>
      </c>
    </row>
    <row r="12" ht="15.75" customHeight="1">
      <c r="A12" s="5" t="s">
        <v>25</v>
      </c>
      <c r="B12" s="5">
        <v>11.0</v>
      </c>
    </row>
    <row r="13" ht="15.75" customHeight="1">
      <c r="A13" s="5" t="s">
        <v>89</v>
      </c>
      <c r="B13" s="5">
        <v>12.0</v>
      </c>
    </row>
    <row r="14" ht="15.75" customHeight="1">
      <c r="A14" s="5" t="s">
        <v>56</v>
      </c>
      <c r="B14" s="5">
        <v>13.0</v>
      </c>
    </row>
    <row r="15" ht="15.75" customHeight="1">
      <c r="A15" s="5" t="s">
        <v>29</v>
      </c>
      <c r="B15" s="5">
        <v>14.0</v>
      </c>
    </row>
    <row r="16" ht="15.75" customHeight="1">
      <c r="A16" s="5" t="s">
        <v>73</v>
      </c>
      <c r="B16" s="5">
        <v>15.0</v>
      </c>
    </row>
    <row r="17" ht="15.75" customHeight="1">
      <c r="A17" s="5" t="s">
        <v>116</v>
      </c>
      <c r="B17" s="5">
        <v>16.0</v>
      </c>
    </row>
    <row r="18" ht="15.75" customHeight="1">
      <c r="A18" s="5" t="s">
        <v>31</v>
      </c>
      <c r="B18" s="5">
        <v>17.0</v>
      </c>
    </row>
    <row r="19" ht="15.75" customHeight="1">
      <c r="A19" s="5" t="s">
        <v>30</v>
      </c>
      <c r="B19" s="5">
        <v>18.0</v>
      </c>
    </row>
    <row r="20" ht="15.75" customHeight="1">
      <c r="A20" s="5" t="s">
        <v>70</v>
      </c>
      <c r="B20" s="5">
        <v>19.0</v>
      </c>
    </row>
    <row r="21" ht="15.75" customHeight="1">
      <c r="A21" s="5" t="s">
        <v>35</v>
      </c>
      <c r="B21" s="5">
        <v>20.0</v>
      </c>
    </row>
    <row r="22" ht="15.75" customHeight="1">
      <c r="A22" s="5" t="s">
        <v>20</v>
      </c>
      <c r="B22" s="5">
        <v>21.0</v>
      </c>
    </row>
    <row r="23" ht="15.75" customHeight="1">
      <c r="A23" s="5" t="s">
        <v>87</v>
      </c>
      <c r="B23" s="5">
        <v>22.0</v>
      </c>
    </row>
    <row r="24" ht="15.75" customHeight="1">
      <c r="A24" s="5" t="s">
        <v>40</v>
      </c>
      <c r="B24" s="5">
        <v>23.0</v>
      </c>
    </row>
    <row r="25" ht="15.75" customHeight="1">
      <c r="A25" s="5" t="s">
        <v>64</v>
      </c>
      <c r="B25" s="5">
        <v>24.0</v>
      </c>
    </row>
    <row r="26" ht="15.75" customHeight="1">
      <c r="A26" s="5" t="s">
        <v>17</v>
      </c>
      <c r="B26" s="5">
        <v>25.0</v>
      </c>
    </row>
    <row r="27" ht="15.75" customHeight="1">
      <c r="A27" s="5" t="s">
        <v>85</v>
      </c>
      <c r="B27" s="5">
        <v>26.0</v>
      </c>
    </row>
    <row r="28" ht="15.75" customHeight="1">
      <c r="A28" s="5" t="s">
        <v>104</v>
      </c>
      <c r="B28" s="5">
        <v>27.0</v>
      </c>
    </row>
    <row r="29" ht="15.75" customHeight="1">
      <c r="A29" s="5" t="s">
        <v>51</v>
      </c>
      <c r="B29" s="5">
        <v>28.0</v>
      </c>
    </row>
    <row r="30" ht="15.75" customHeight="1">
      <c r="A30" s="5" t="s">
        <v>53</v>
      </c>
      <c r="B30" s="5">
        <v>29.0</v>
      </c>
    </row>
    <row r="31" ht="15.75" customHeight="1">
      <c r="A31" s="5" t="s">
        <v>93</v>
      </c>
      <c r="B31" s="5">
        <v>30.0</v>
      </c>
    </row>
    <row r="32" ht="15.75" customHeight="1">
      <c r="A32" s="5" t="s">
        <v>65</v>
      </c>
      <c r="B32" s="5">
        <v>31.0</v>
      </c>
    </row>
    <row r="33" ht="15.75" customHeight="1">
      <c r="A33" s="5" t="s">
        <v>61</v>
      </c>
      <c r="B33" s="5">
        <v>32.0</v>
      </c>
    </row>
    <row r="34" ht="15.75" customHeight="1">
      <c r="A34" s="5" t="s">
        <v>15</v>
      </c>
      <c r="B34" s="5">
        <v>33.0</v>
      </c>
    </row>
    <row r="35" ht="15.75" customHeight="1">
      <c r="A35" s="5" t="s">
        <v>101</v>
      </c>
      <c r="B35" s="5">
        <v>34.0</v>
      </c>
    </row>
    <row r="36" ht="15.75" customHeight="1">
      <c r="A36" s="5" t="s">
        <v>43</v>
      </c>
      <c r="B36" s="5">
        <v>35.0</v>
      </c>
    </row>
    <row r="37" ht="15.75" customHeight="1">
      <c r="A37" s="5" t="s">
        <v>96</v>
      </c>
      <c r="B37" s="5">
        <v>36.0</v>
      </c>
    </row>
    <row r="38" ht="15.75" customHeight="1">
      <c r="A38" s="5" t="s">
        <v>112</v>
      </c>
      <c r="B38" s="5">
        <v>37.0</v>
      </c>
    </row>
    <row r="39" ht="15.75" customHeight="1">
      <c r="A39" s="5" t="s">
        <v>97</v>
      </c>
      <c r="B39" s="5">
        <v>38.0</v>
      </c>
    </row>
    <row r="40" ht="15.75" customHeight="1">
      <c r="A40" s="5" t="s">
        <v>98</v>
      </c>
      <c r="B40" s="5">
        <v>39.0</v>
      </c>
    </row>
    <row r="41" ht="15.75" customHeight="1">
      <c r="A41" s="5" t="s">
        <v>13</v>
      </c>
      <c r="B41" s="5">
        <v>40.0</v>
      </c>
    </row>
    <row r="42" ht="15.75" customHeight="1">
      <c r="A42" s="5" t="s">
        <v>58</v>
      </c>
      <c r="B42" s="5">
        <v>41.0</v>
      </c>
    </row>
    <row r="43" ht="15.75" customHeight="1">
      <c r="A43" s="5" t="s">
        <v>60</v>
      </c>
      <c r="B43" s="5">
        <v>42.0</v>
      </c>
    </row>
    <row r="44" ht="15.75" customHeight="1">
      <c r="A44" s="5" t="s">
        <v>49</v>
      </c>
      <c r="B44" s="5">
        <v>43.0</v>
      </c>
    </row>
    <row r="45" ht="15.75" customHeight="1">
      <c r="A45" s="5" t="s">
        <v>66</v>
      </c>
      <c r="B45" s="5">
        <v>44.0</v>
      </c>
    </row>
    <row r="46" ht="15.75" customHeight="1">
      <c r="A46" s="5" t="s">
        <v>22</v>
      </c>
      <c r="B46" s="5">
        <v>45.0</v>
      </c>
    </row>
    <row r="47" ht="15.75" customHeight="1">
      <c r="A47" s="5" t="s">
        <v>59</v>
      </c>
      <c r="B47" s="5">
        <v>46.0</v>
      </c>
    </row>
    <row r="48" ht="15.75" customHeight="1">
      <c r="A48" s="5" t="s">
        <v>33</v>
      </c>
      <c r="B48" s="5">
        <v>47.0</v>
      </c>
    </row>
    <row r="49" ht="15.75" customHeight="1">
      <c r="A49" s="5" t="s">
        <v>71</v>
      </c>
      <c r="B49" s="5">
        <v>48.0</v>
      </c>
    </row>
    <row r="50" ht="15.75" customHeight="1">
      <c r="A50" s="5" t="s">
        <v>106</v>
      </c>
      <c r="B50" s="5">
        <v>49.0</v>
      </c>
    </row>
    <row r="51" ht="15.75" customHeight="1">
      <c r="A51" s="5" t="s">
        <v>28</v>
      </c>
      <c r="B51" s="5">
        <v>50.0</v>
      </c>
    </row>
    <row r="52" ht="15.75" customHeight="1">
      <c r="A52" s="5" t="s">
        <v>14</v>
      </c>
      <c r="B52" s="5">
        <v>51.0</v>
      </c>
    </row>
    <row r="53" ht="15.75" customHeight="1">
      <c r="A53" s="5" t="s">
        <v>90</v>
      </c>
      <c r="B53" s="5">
        <v>52.0</v>
      </c>
    </row>
    <row r="54" ht="15.75" customHeight="1">
      <c r="A54" s="5" t="s">
        <v>45</v>
      </c>
      <c r="B54" s="5">
        <v>53.0</v>
      </c>
    </row>
    <row r="55" ht="15.75" customHeight="1">
      <c r="A55" s="5" t="s">
        <v>57</v>
      </c>
      <c r="B55" s="5">
        <v>54.0</v>
      </c>
    </row>
    <row r="56" ht="15.75" customHeight="1">
      <c r="A56" s="5" t="s">
        <v>46</v>
      </c>
      <c r="B56" s="5">
        <v>55.0</v>
      </c>
    </row>
    <row r="57" ht="15.75" customHeight="1">
      <c r="A57" s="5" t="s">
        <v>63</v>
      </c>
      <c r="B57" s="5">
        <v>56.0</v>
      </c>
    </row>
    <row r="58" ht="15.75" customHeight="1">
      <c r="A58" s="5" t="s">
        <v>133</v>
      </c>
      <c r="B58" s="5">
        <v>57.0</v>
      </c>
    </row>
    <row r="59" ht="15.75" customHeight="1">
      <c r="A59" s="5" t="s">
        <v>105</v>
      </c>
      <c r="B59" s="5">
        <v>58.0</v>
      </c>
    </row>
    <row r="60" ht="15.75" customHeight="1">
      <c r="A60" s="5" t="s">
        <v>143</v>
      </c>
      <c r="B60" s="5">
        <v>59.0</v>
      </c>
    </row>
    <row r="61" ht="15.75" customHeight="1">
      <c r="A61" s="5" t="s">
        <v>23</v>
      </c>
      <c r="B61" s="5">
        <v>60.0</v>
      </c>
    </row>
    <row r="62" ht="15.75" customHeight="1">
      <c r="A62" s="5" t="s">
        <v>144</v>
      </c>
      <c r="B62" s="5">
        <v>61.0</v>
      </c>
    </row>
    <row r="63" ht="15.75" customHeight="1">
      <c r="A63" s="5" t="s">
        <v>47</v>
      </c>
      <c r="B63" s="5">
        <v>62.0</v>
      </c>
    </row>
    <row r="64" ht="15.75" customHeight="1">
      <c r="A64" s="5" t="s">
        <v>76</v>
      </c>
      <c r="B64" s="5">
        <v>63.0</v>
      </c>
    </row>
    <row r="65" ht="15.75" customHeight="1">
      <c r="A65" s="5" t="s">
        <v>54</v>
      </c>
      <c r="B65" s="5">
        <v>64.0</v>
      </c>
    </row>
    <row r="66" ht="15.75" customHeight="1">
      <c r="A66" s="5" t="s">
        <v>52</v>
      </c>
      <c r="B66" s="5">
        <v>65.0</v>
      </c>
    </row>
    <row r="67" ht="15.75" customHeight="1">
      <c r="A67" s="5" t="s">
        <v>72</v>
      </c>
      <c r="B67" s="5">
        <v>66.0</v>
      </c>
    </row>
    <row r="68" ht="15.75" customHeight="1">
      <c r="A68" s="5" t="s">
        <v>156</v>
      </c>
      <c r="B68" s="5">
        <v>67.0</v>
      </c>
    </row>
    <row r="69" ht="15.75" customHeight="1">
      <c r="A69" s="5" t="s">
        <v>95</v>
      </c>
      <c r="B69" s="5">
        <v>68.0</v>
      </c>
    </row>
    <row r="70" ht="15.75" customHeight="1">
      <c r="A70" s="5" t="s">
        <v>26</v>
      </c>
      <c r="B70" s="5">
        <v>69.0</v>
      </c>
    </row>
    <row r="71" ht="15.75" customHeight="1">
      <c r="A71" s="5" t="s">
        <v>37</v>
      </c>
      <c r="B71" s="5">
        <v>70.0</v>
      </c>
    </row>
    <row r="72" ht="15.75" customHeight="1">
      <c r="A72" s="5" t="s">
        <v>102</v>
      </c>
      <c r="B72" s="5">
        <v>71.0</v>
      </c>
    </row>
    <row r="73" ht="15.75" customHeight="1">
      <c r="A73" s="5" t="s">
        <v>69</v>
      </c>
      <c r="B73" s="5">
        <v>72.0</v>
      </c>
    </row>
    <row r="74" ht="15.75" customHeight="1">
      <c r="A74" s="5" t="s">
        <v>83</v>
      </c>
      <c r="B74" s="5">
        <v>73.0</v>
      </c>
    </row>
    <row r="75" ht="15.75" customHeight="1">
      <c r="A75" s="5" t="s">
        <v>55</v>
      </c>
      <c r="B75" s="5">
        <v>74.0</v>
      </c>
    </row>
    <row r="76" ht="15.75" customHeight="1">
      <c r="A76" s="5" t="s">
        <v>80</v>
      </c>
      <c r="B76" s="5">
        <v>75.0</v>
      </c>
    </row>
    <row r="77" ht="15.75" customHeight="1">
      <c r="A77" s="5" t="s">
        <v>132</v>
      </c>
      <c r="B77" s="5">
        <v>76.0</v>
      </c>
    </row>
    <row r="78" ht="15.75" customHeight="1">
      <c r="A78" s="5" t="s">
        <v>94</v>
      </c>
      <c r="B78" s="5">
        <v>77.0</v>
      </c>
    </row>
    <row r="79" ht="15.75" customHeight="1">
      <c r="A79" s="5" t="s">
        <v>151</v>
      </c>
      <c r="B79" s="5">
        <v>78.0</v>
      </c>
    </row>
    <row r="80" ht="15.75" customHeight="1">
      <c r="A80" s="5" t="s">
        <v>41</v>
      </c>
      <c r="B80" s="5">
        <v>79.0</v>
      </c>
    </row>
    <row r="81" ht="15.75" customHeight="1">
      <c r="A81" s="5" t="s">
        <v>107</v>
      </c>
      <c r="B81" s="5">
        <v>80.0</v>
      </c>
    </row>
    <row r="82" ht="15.75" customHeight="1">
      <c r="A82" s="5" t="s">
        <v>113</v>
      </c>
      <c r="B82" s="5">
        <v>81.0</v>
      </c>
    </row>
    <row r="83" ht="15.75" customHeight="1">
      <c r="A83" s="5" t="s">
        <v>82</v>
      </c>
      <c r="B83" s="5">
        <v>82.0</v>
      </c>
    </row>
    <row r="84" ht="15.75" customHeight="1">
      <c r="A84" s="5" t="s">
        <v>39</v>
      </c>
      <c r="B84" s="5">
        <v>83.0</v>
      </c>
    </row>
    <row r="85" ht="15.75" customHeight="1">
      <c r="A85" s="5" t="s">
        <v>32</v>
      </c>
      <c r="B85" s="5">
        <v>84.0</v>
      </c>
    </row>
    <row r="86" ht="15.75" customHeight="1">
      <c r="A86" s="5" t="s">
        <v>108</v>
      </c>
      <c r="B86" s="5">
        <v>85.0</v>
      </c>
    </row>
    <row r="87" ht="15.75" customHeight="1">
      <c r="A87" s="5" t="s">
        <v>92</v>
      </c>
      <c r="B87" s="5">
        <v>86.0</v>
      </c>
    </row>
    <row r="88" ht="15.75" customHeight="1">
      <c r="A88" s="5" t="s">
        <v>27</v>
      </c>
      <c r="B88" s="5">
        <v>87.0</v>
      </c>
    </row>
    <row r="89" ht="15.75" customHeight="1">
      <c r="A89" s="5" t="s">
        <v>36</v>
      </c>
      <c r="B89" s="5">
        <v>88.0</v>
      </c>
    </row>
    <row r="90" ht="15.75" customHeight="1">
      <c r="A90" s="5" t="s">
        <v>109</v>
      </c>
      <c r="B90" s="5">
        <v>89.0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273</v>
      </c>
      <c r="B1" s="5" t="s">
        <v>274</v>
      </c>
      <c r="C1" s="5" t="s">
        <v>275</v>
      </c>
      <c r="D1" s="5" t="s">
        <v>276</v>
      </c>
      <c r="E1" s="5" t="s">
        <v>277</v>
      </c>
      <c r="F1" s="5" t="s">
        <v>278</v>
      </c>
      <c r="G1" s="5" t="s">
        <v>279</v>
      </c>
      <c r="H1" s="5" t="s">
        <v>280</v>
      </c>
      <c r="I1" s="5" t="s">
        <v>281</v>
      </c>
      <c r="J1" s="5" t="s">
        <v>282</v>
      </c>
    </row>
    <row r="2" ht="15.75" customHeight="1">
      <c r="A2" s="5" t="s">
        <v>101</v>
      </c>
      <c r="B2" s="5" t="s">
        <v>283</v>
      </c>
      <c r="C2" s="5">
        <v>46.91</v>
      </c>
      <c r="D2" s="5">
        <v>39.99</v>
      </c>
      <c r="E2" s="5">
        <v>55.03</v>
      </c>
      <c r="F2" s="5">
        <v>51.16</v>
      </c>
      <c r="G2" s="5">
        <v>58.07</v>
      </c>
      <c r="H2" s="5">
        <v>56.1</v>
      </c>
      <c r="J2" s="5" t="s">
        <v>284</v>
      </c>
    </row>
    <row r="3" ht="15.75" customHeight="1">
      <c r="A3" s="5" t="s">
        <v>104</v>
      </c>
      <c r="B3" s="5" t="s">
        <v>285</v>
      </c>
      <c r="C3" s="5">
        <v>41.13</v>
      </c>
      <c r="D3" s="5">
        <v>39.89</v>
      </c>
      <c r="E3" s="5">
        <v>42.4</v>
      </c>
      <c r="F3" s="5">
        <v>32.37</v>
      </c>
      <c r="G3" s="5">
        <v>51.01</v>
      </c>
      <c r="H3" s="5">
        <v>46.17</v>
      </c>
    </row>
    <row r="4" ht="15.75" customHeight="1">
      <c r="A4" s="5" t="s">
        <v>71</v>
      </c>
      <c r="B4" s="5" t="s">
        <v>286</v>
      </c>
      <c r="C4" s="5">
        <v>40.96</v>
      </c>
      <c r="D4" s="5">
        <v>35.99</v>
      </c>
      <c r="E4" s="5">
        <v>46.62</v>
      </c>
      <c r="F4" s="5">
        <v>37.15</v>
      </c>
      <c r="G4" s="5">
        <v>54.01</v>
      </c>
      <c r="H4" s="5">
        <v>50.49</v>
      </c>
    </row>
    <row r="5" ht="15.75" customHeight="1">
      <c r="A5" s="5" t="s">
        <v>98</v>
      </c>
      <c r="B5" s="5" t="s">
        <v>287</v>
      </c>
      <c r="C5" s="5">
        <v>37.81</v>
      </c>
      <c r="D5" s="5">
        <v>31.54</v>
      </c>
      <c r="E5" s="5">
        <v>45.33</v>
      </c>
      <c r="F5" s="5">
        <v>39.3</v>
      </c>
      <c r="G5" s="5">
        <v>49.28</v>
      </c>
      <c r="H5" s="5">
        <v>48.1</v>
      </c>
    </row>
    <row r="6" ht="15.75" customHeight="1">
      <c r="A6" s="5" t="s">
        <v>70</v>
      </c>
      <c r="B6" s="5" t="s">
        <v>288</v>
      </c>
      <c r="C6" s="5">
        <v>35.93</v>
      </c>
      <c r="D6" s="5">
        <v>50.08</v>
      </c>
      <c r="E6" s="5">
        <v>25.78</v>
      </c>
      <c r="F6" s="5">
        <v>30.03</v>
      </c>
      <c r="G6" s="5">
        <v>11.97</v>
      </c>
      <c r="H6" s="5">
        <v>47.68</v>
      </c>
    </row>
    <row r="7" ht="15.75" customHeight="1">
      <c r="A7" s="5" t="s">
        <v>132</v>
      </c>
      <c r="B7" s="5" t="s">
        <v>289</v>
      </c>
      <c r="C7" s="5">
        <v>35.85</v>
      </c>
      <c r="D7" s="5">
        <v>22.43</v>
      </c>
      <c r="E7" s="5">
        <v>57.31</v>
      </c>
      <c r="F7" s="5">
        <v>51.43</v>
      </c>
      <c r="G7" s="5">
        <v>58.75</v>
      </c>
      <c r="H7" s="5">
        <v>62.29</v>
      </c>
    </row>
    <row r="8" ht="15.75" customHeight="1">
      <c r="A8" s="5" t="s">
        <v>146</v>
      </c>
      <c r="B8" s="5" t="s">
        <v>290</v>
      </c>
      <c r="C8" s="5">
        <v>34.44</v>
      </c>
      <c r="D8" s="5">
        <v>18.1</v>
      </c>
      <c r="E8" s="5">
        <v>65.53</v>
      </c>
      <c r="F8" s="5">
        <v>65.79</v>
      </c>
      <c r="G8" s="5">
        <v>63.13</v>
      </c>
      <c r="H8" s="5">
        <v>67.75</v>
      </c>
    </row>
    <row r="9" ht="15.75" customHeight="1">
      <c r="A9" s="5" t="s">
        <v>72</v>
      </c>
      <c r="B9" s="5" t="s">
        <v>291</v>
      </c>
      <c r="C9" s="5">
        <v>28.12</v>
      </c>
      <c r="D9" s="5">
        <v>28.35</v>
      </c>
      <c r="E9" s="5">
        <v>27.89</v>
      </c>
      <c r="F9" s="5">
        <v>15.31</v>
      </c>
      <c r="G9" s="5">
        <v>40.03</v>
      </c>
      <c r="H9" s="5">
        <v>35.38</v>
      </c>
    </row>
    <row r="10" ht="15.75" customHeight="1">
      <c r="A10" s="5" t="s">
        <v>108</v>
      </c>
      <c r="B10" s="5" t="s">
        <v>292</v>
      </c>
      <c r="C10" s="5">
        <v>27.73</v>
      </c>
      <c r="D10" s="5">
        <v>16.57</v>
      </c>
      <c r="E10" s="5">
        <v>46.39</v>
      </c>
      <c r="F10" s="5">
        <v>35.5</v>
      </c>
      <c r="G10" s="5">
        <v>57.92</v>
      </c>
      <c r="H10" s="5">
        <v>48.54</v>
      </c>
    </row>
    <row r="11" ht="15.75" customHeight="1">
      <c r="A11" s="5" t="s">
        <v>114</v>
      </c>
      <c r="B11" s="5" t="s">
        <v>293</v>
      </c>
      <c r="C11" s="5">
        <v>27.02</v>
      </c>
      <c r="D11" s="5">
        <v>13.11</v>
      </c>
      <c r="E11" s="5">
        <v>55.69</v>
      </c>
      <c r="F11" s="5">
        <v>42.64</v>
      </c>
      <c r="G11" s="5">
        <v>63.1</v>
      </c>
      <c r="H11" s="5">
        <v>64.18</v>
      </c>
    </row>
    <row r="12" ht="15.75" customHeight="1">
      <c r="A12" s="5" t="s">
        <v>87</v>
      </c>
      <c r="B12" s="5" t="s">
        <v>294</v>
      </c>
      <c r="C12" s="5">
        <v>27.01</v>
      </c>
      <c r="D12" s="5">
        <v>16.65</v>
      </c>
      <c r="E12" s="5">
        <v>43.82</v>
      </c>
      <c r="F12" s="5">
        <v>36.32</v>
      </c>
      <c r="G12" s="5">
        <v>46.06</v>
      </c>
      <c r="H12" s="5">
        <v>50.3</v>
      </c>
    </row>
    <row r="13" ht="15.75" customHeight="1">
      <c r="A13" s="5" t="s">
        <v>159</v>
      </c>
      <c r="B13" s="5" t="s">
        <v>295</v>
      </c>
      <c r="C13" s="5">
        <v>26.35</v>
      </c>
      <c r="D13" s="5">
        <v>18.84</v>
      </c>
      <c r="E13" s="5">
        <v>36.84</v>
      </c>
      <c r="F13" s="5">
        <v>57.46</v>
      </c>
      <c r="G13" s="5">
        <v>13.59</v>
      </c>
      <c r="H13" s="5">
        <v>64.04</v>
      </c>
    </row>
    <row r="14" ht="15.75" customHeight="1">
      <c r="A14" s="5" t="s">
        <v>210</v>
      </c>
      <c r="B14" s="5" t="s">
        <v>296</v>
      </c>
      <c r="C14" s="5">
        <v>24.8</v>
      </c>
      <c r="D14" s="5">
        <v>18.38</v>
      </c>
      <c r="E14" s="5">
        <v>33.47</v>
      </c>
      <c r="F14" s="5">
        <v>34.35</v>
      </c>
      <c r="G14" s="5">
        <v>15.27</v>
      </c>
      <c r="H14" s="5">
        <v>71.49</v>
      </c>
    </row>
    <row r="15" ht="15.75" customHeight="1">
      <c r="A15" s="5" t="s">
        <v>149</v>
      </c>
      <c r="B15" s="5" t="s">
        <v>297</v>
      </c>
      <c r="C15" s="5">
        <v>24.64</v>
      </c>
      <c r="D15" s="5">
        <v>8.55</v>
      </c>
      <c r="E15" s="5">
        <v>71.02</v>
      </c>
      <c r="F15" s="5">
        <v>68.39</v>
      </c>
      <c r="G15" s="5">
        <v>81.85</v>
      </c>
      <c r="H15" s="5">
        <v>63.98</v>
      </c>
    </row>
    <row r="16" ht="15.75" customHeight="1">
      <c r="A16" s="5" t="s">
        <v>148</v>
      </c>
      <c r="B16" s="5" t="s">
        <v>298</v>
      </c>
      <c r="C16" s="5">
        <v>24.47</v>
      </c>
      <c r="D16" s="5">
        <v>9.12</v>
      </c>
      <c r="E16" s="5">
        <v>65.64</v>
      </c>
      <c r="F16" s="5">
        <v>60.55</v>
      </c>
      <c r="G16" s="5">
        <v>69.8</v>
      </c>
      <c r="H16" s="5">
        <v>66.92</v>
      </c>
    </row>
    <row r="17" ht="15.75" customHeight="1">
      <c r="A17" s="5" t="s">
        <v>96</v>
      </c>
      <c r="B17" s="5" t="s">
        <v>299</v>
      </c>
      <c r="C17" s="5">
        <v>24.24</v>
      </c>
      <c r="D17" s="5">
        <v>26.73</v>
      </c>
      <c r="E17" s="5">
        <v>21.98</v>
      </c>
      <c r="F17" s="5">
        <v>20.35</v>
      </c>
      <c r="G17" s="5">
        <v>12.38</v>
      </c>
      <c r="H17" s="5">
        <v>42.13</v>
      </c>
    </row>
    <row r="18" ht="15.75" customHeight="1">
      <c r="A18" s="5" t="s">
        <v>110</v>
      </c>
      <c r="B18" s="5" t="s">
        <v>300</v>
      </c>
      <c r="C18" s="5">
        <v>24.2</v>
      </c>
      <c r="D18" s="5">
        <v>19.52</v>
      </c>
      <c r="E18" s="5">
        <v>30.01</v>
      </c>
      <c r="F18" s="5">
        <v>29.57</v>
      </c>
      <c r="G18" s="5">
        <v>14.43</v>
      </c>
      <c r="H18" s="5">
        <v>63.36</v>
      </c>
    </row>
    <row r="19" ht="15.75" customHeight="1">
      <c r="A19" s="5" t="s">
        <v>90</v>
      </c>
      <c r="B19" s="5" t="s">
        <v>301</v>
      </c>
      <c r="C19" s="5">
        <v>23.81</v>
      </c>
      <c r="D19" s="5">
        <v>14.57</v>
      </c>
      <c r="E19" s="5">
        <v>38.9</v>
      </c>
      <c r="F19" s="5">
        <v>28.5</v>
      </c>
      <c r="G19" s="5">
        <v>45.47</v>
      </c>
      <c r="H19" s="5">
        <v>45.43</v>
      </c>
    </row>
    <row r="20" ht="15.75" customHeight="1">
      <c r="A20" s="5" t="s">
        <v>14</v>
      </c>
      <c r="B20" s="5" t="s">
        <v>302</v>
      </c>
      <c r="C20" s="5">
        <v>22.56</v>
      </c>
      <c r="D20" s="5">
        <v>39.59</v>
      </c>
      <c r="E20" s="5">
        <v>12.85</v>
      </c>
      <c r="F20" s="5">
        <v>8.4</v>
      </c>
      <c r="G20" s="5">
        <v>7.95</v>
      </c>
      <c r="H20" s="5">
        <v>31.78</v>
      </c>
    </row>
    <row r="21" ht="15.75" customHeight="1">
      <c r="A21" s="5" t="s">
        <v>131</v>
      </c>
      <c r="B21" s="5" t="s">
        <v>303</v>
      </c>
      <c r="C21" s="5">
        <v>21.94</v>
      </c>
      <c r="D21" s="5">
        <v>18.71</v>
      </c>
      <c r="E21" s="5">
        <v>25.73</v>
      </c>
      <c r="F21" s="5">
        <v>36.6</v>
      </c>
      <c r="G21" s="5">
        <v>13.94</v>
      </c>
      <c r="H21" s="5">
        <v>33.4</v>
      </c>
    </row>
    <row r="22" ht="15.75" customHeight="1">
      <c r="A22" s="5" t="s">
        <v>81</v>
      </c>
      <c r="B22" s="5" t="s">
        <v>304</v>
      </c>
      <c r="C22" s="5">
        <v>21.7</v>
      </c>
      <c r="D22" s="5">
        <v>14.32</v>
      </c>
      <c r="E22" s="5">
        <v>32.87</v>
      </c>
      <c r="F22" s="5">
        <v>21.12</v>
      </c>
      <c r="G22" s="5">
        <v>47.95</v>
      </c>
      <c r="H22" s="5">
        <v>35.08</v>
      </c>
    </row>
    <row r="23" ht="15.75" customHeight="1">
      <c r="A23" s="5" t="s">
        <v>59</v>
      </c>
      <c r="B23" s="5" t="s">
        <v>305</v>
      </c>
      <c r="C23" s="5">
        <v>21.31</v>
      </c>
      <c r="D23" s="5">
        <v>64.59</v>
      </c>
      <c r="E23" s="5">
        <v>7.03</v>
      </c>
      <c r="F23" s="5">
        <v>11.03</v>
      </c>
      <c r="G23" s="5">
        <v>11.55</v>
      </c>
      <c r="H23" s="5">
        <v>2.73</v>
      </c>
    </row>
    <row r="24" ht="15.75" customHeight="1">
      <c r="A24" s="5" t="s">
        <v>18</v>
      </c>
      <c r="B24" s="5" t="s">
        <v>306</v>
      </c>
      <c r="C24" s="5">
        <v>21.05</v>
      </c>
      <c r="D24" s="5">
        <v>31.21</v>
      </c>
      <c r="E24" s="5">
        <v>14.2</v>
      </c>
      <c r="F24" s="5">
        <v>6.72</v>
      </c>
      <c r="G24" s="5">
        <v>14.38</v>
      </c>
      <c r="H24" s="5">
        <v>29.64</v>
      </c>
    </row>
    <row r="25" ht="15.75" customHeight="1">
      <c r="A25" s="5" t="s">
        <v>40</v>
      </c>
      <c r="B25" s="5" t="s">
        <v>307</v>
      </c>
      <c r="C25" s="5">
        <v>20.94</v>
      </c>
      <c r="D25" s="5">
        <v>43.67</v>
      </c>
      <c r="E25" s="5">
        <v>10.04</v>
      </c>
      <c r="F25" s="5">
        <v>11.5</v>
      </c>
      <c r="G25" s="5">
        <v>6.89</v>
      </c>
      <c r="H25" s="5">
        <v>12.76</v>
      </c>
    </row>
    <row r="26" ht="15.75" customHeight="1">
      <c r="A26" s="5" t="s">
        <v>30</v>
      </c>
      <c r="B26" s="5" t="s">
        <v>308</v>
      </c>
      <c r="C26" s="5">
        <v>18.89</v>
      </c>
      <c r="D26" s="5">
        <v>25.89</v>
      </c>
      <c r="E26" s="5">
        <v>13.78</v>
      </c>
      <c r="F26" s="5">
        <v>9.95</v>
      </c>
      <c r="G26" s="5">
        <v>7.81</v>
      </c>
      <c r="H26" s="5">
        <v>33.69</v>
      </c>
    </row>
    <row r="27" ht="15.75" customHeight="1">
      <c r="A27" s="5" t="s">
        <v>116</v>
      </c>
      <c r="B27" s="5" t="s">
        <v>309</v>
      </c>
      <c r="C27" s="5">
        <v>18.78</v>
      </c>
      <c r="D27" s="5">
        <v>10.74</v>
      </c>
      <c r="E27" s="5">
        <v>32.83</v>
      </c>
      <c r="F27" s="5">
        <v>16.01</v>
      </c>
      <c r="G27" s="5">
        <v>46.24</v>
      </c>
      <c r="H27" s="5">
        <v>47.8</v>
      </c>
    </row>
    <row r="28" ht="15.75" customHeight="1">
      <c r="A28" s="5" t="s">
        <v>66</v>
      </c>
      <c r="B28" s="5" t="s">
        <v>310</v>
      </c>
      <c r="C28" s="5">
        <v>18.19</v>
      </c>
      <c r="D28" s="5">
        <v>15.89</v>
      </c>
      <c r="E28" s="5">
        <v>20.82</v>
      </c>
      <c r="F28" s="5">
        <v>21.22</v>
      </c>
      <c r="G28" s="5">
        <v>10.9</v>
      </c>
      <c r="H28" s="5">
        <v>39.02</v>
      </c>
    </row>
    <row r="29" ht="15.75" customHeight="1">
      <c r="A29" s="5" t="s">
        <v>109</v>
      </c>
      <c r="B29" s="5" t="s">
        <v>311</v>
      </c>
      <c r="C29" s="5">
        <v>17.47</v>
      </c>
      <c r="D29" s="5">
        <v>12.49</v>
      </c>
      <c r="E29" s="5">
        <v>24.43</v>
      </c>
      <c r="F29" s="5">
        <v>20.61</v>
      </c>
      <c r="G29" s="5">
        <v>58.11</v>
      </c>
      <c r="H29" s="5">
        <v>12.17</v>
      </c>
    </row>
    <row r="30" ht="15.75" customHeight="1">
      <c r="A30" s="5" t="s">
        <v>156</v>
      </c>
      <c r="B30" s="5" t="s">
        <v>312</v>
      </c>
      <c r="C30" s="5">
        <v>16.81</v>
      </c>
      <c r="D30" s="5">
        <v>8.82</v>
      </c>
      <c r="E30" s="5">
        <v>32.02</v>
      </c>
      <c r="F30" s="5">
        <v>40.05</v>
      </c>
      <c r="G30" s="5">
        <v>14.42</v>
      </c>
      <c r="H30" s="5">
        <v>56.87</v>
      </c>
    </row>
    <row r="31" ht="15.75" customHeight="1">
      <c r="A31" s="5" t="s">
        <v>313</v>
      </c>
      <c r="B31" s="5" t="s">
        <v>314</v>
      </c>
      <c r="C31" s="5">
        <v>15.98</v>
      </c>
      <c r="D31" s="5">
        <v>5.49</v>
      </c>
      <c r="E31" s="5">
        <v>46.49</v>
      </c>
      <c r="F31" s="5">
        <v>32.41</v>
      </c>
      <c r="G31" s="5">
        <v>55.08</v>
      </c>
      <c r="H31" s="5">
        <v>56.27</v>
      </c>
    </row>
    <row r="32" ht="15.75" customHeight="1">
      <c r="A32" s="5" t="s">
        <v>144</v>
      </c>
      <c r="B32" s="5" t="s">
        <v>315</v>
      </c>
      <c r="C32" s="5">
        <v>14.94</v>
      </c>
      <c r="D32" s="5">
        <v>7.3</v>
      </c>
      <c r="E32" s="5">
        <v>30.56</v>
      </c>
      <c r="F32" s="5">
        <v>45.22</v>
      </c>
      <c r="G32" s="5">
        <v>11.91</v>
      </c>
      <c r="H32" s="5">
        <v>53.01</v>
      </c>
    </row>
    <row r="33" ht="15.75" customHeight="1">
      <c r="A33" s="5" t="s">
        <v>85</v>
      </c>
      <c r="B33" s="5" t="s">
        <v>316</v>
      </c>
      <c r="C33" s="5">
        <v>14.81</v>
      </c>
      <c r="D33" s="5">
        <v>11.54</v>
      </c>
      <c r="E33" s="5">
        <v>19.0</v>
      </c>
      <c r="F33" s="5">
        <v>14.08</v>
      </c>
      <c r="G33" s="5">
        <v>10.93</v>
      </c>
      <c r="H33" s="5">
        <v>44.56</v>
      </c>
    </row>
    <row r="34" ht="15.75" customHeight="1">
      <c r="A34" s="5" t="s">
        <v>228</v>
      </c>
      <c r="B34" s="5" t="s">
        <v>317</v>
      </c>
      <c r="C34" s="5">
        <v>14.74</v>
      </c>
      <c r="D34" s="5">
        <v>9.62</v>
      </c>
      <c r="E34" s="5">
        <v>22.57</v>
      </c>
      <c r="F34" s="5">
        <v>17.83</v>
      </c>
      <c r="G34" s="5">
        <v>12.42</v>
      </c>
      <c r="H34" s="5">
        <v>51.89</v>
      </c>
    </row>
    <row r="35" ht="15.75" customHeight="1">
      <c r="A35" s="5" t="s">
        <v>61</v>
      </c>
      <c r="B35" s="5" t="s">
        <v>318</v>
      </c>
      <c r="C35" s="5">
        <v>14.5</v>
      </c>
      <c r="D35" s="5">
        <v>8.64</v>
      </c>
      <c r="E35" s="5">
        <v>24.34</v>
      </c>
      <c r="F35" s="5">
        <v>19.68</v>
      </c>
      <c r="G35" s="5">
        <v>20.35</v>
      </c>
      <c r="H35" s="5">
        <v>35.99</v>
      </c>
    </row>
    <row r="36" ht="15.75" customHeight="1">
      <c r="A36" s="5" t="s">
        <v>73</v>
      </c>
      <c r="B36" s="5" t="s">
        <v>319</v>
      </c>
      <c r="C36" s="5">
        <v>14.48</v>
      </c>
      <c r="D36" s="5">
        <v>8.9</v>
      </c>
      <c r="E36" s="5">
        <v>23.55</v>
      </c>
      <c r="F36" s="5">
        <v>16.01</v>
      </c>
      <c r="G36" s="5">
        <v>50.01</v>
      </c>
      <c r="H36" s="5">
        <v>16.32</v>
      </c>
    </row>
    <row r="37" ht="15.75" customHeight="1">
      <c r="A37" s="5" t="s">
        <v>24</v>
      </c>
      <c r="B37" s="5" t="s">
        <v>320</v>
      </c>
      <c r="C37" s="5">
        <v>14.34</v>
      </c>
      <c r="D37" s="5">
        <v>17.99</v>
      </c>
      <c r="E37" s="5">
        <v>11.43</v>
      </c>
      <c r="F37" s="5">
        <v>6.89</v>
      </c>
      <c r="G37" s="5">
        <v>6.19</v>
      </c>
      <c r="H37" s="5">
        <v>35.0</v>
      </c>
    </row>
    <row r="38" ht="15.75" customHeight="1">
      <c r="A38" s="5" t="s">
        <v>103</v>
      </c>
      <c r="B38" s="5" t="s">
        <v>321</v>
      </c>
      <c r="C38" s="5">
        <v>13.87</v>
      </c>
      <c r="D38" s="5">
        <v>4.94</v>
      </c>
      <c r="E38" s="5">
        <v>38.95</v>
      </c>
      <c r="F38" s="5">
        <v>22.11</v>
      </c>
      <c r="G38" s="5">
        <v>57.58</v>
      </c>
      <c r="H38" s="5">
        <v>46.4</v>
      </c>
    </row>
    <row r="39" ht="15.75" customHeight="1">
      <c r="A39" s="5" t="s">
        <v>106</v>
      </c>
      <c r="B39" s="5" t="s">
        <v>322</v>
      </c>
      <c r="C39" s="5">
        <v>13.79</v>
      </c>
      <c r="D39" s="5">
        <v>3.27</v>
      </c>
      <c r="E39" s="5">
        <v>58.17</v>
      </c>
      <c r="F39" s="5">
        <v>58.44</v>
      </c>
      <c r="G39" s="5">
        <v>57.58</v>
      </c>
      <c r="H39" s="5">
        <v>58.49</v>
      </c>
    </row>
    <row r="40" ht="15.75" customHeight="1">
      <c r="A40" s="5" t="s">
        <v>65</v>
      </c>
      <c r="B40" s="5" t="s">
        <v>323</v>
      </c>
      <c r="C40" s="5">
        <v>13.74</v>
      </c>
      <c r="D40" s="5">
        <v>12.86</v>
      </c>
      <c r="E40" s="5">
        <v>14.68</v>
      </c>
      <c r="F40" s="5">
        <v>8.35</v>
      </c>
      <c r="G40" s="5">
        <v>9.43</v>
      </c>
      <c r="H40" s="5">
        <v>40.15</v>
      </c>
    </row>
    <row r="41" ht="15.75" customHeight="1">
      <c r="A41" s="5" t="s">
        <v>97</v>
      </c>
      <c r="B41" s="5" t="s">
        <v>324</v>
      </c>
      <c r="C41" s="5">
        <v>13.33</v>
      </c>
      <c r="D41" s="5">
        <v>7.05</v>
      </c>
      <c r="E41" s="5">
        <v>25.2</v>
      </c>
      <c r="F41" s="5">
        <v>27.78</v>
      </c>
      <c r="G41" s="5">
        <v>12.5</v>
      </c>
      <c r="H41" s="5">
        <v>46.06</v>
      </c>
    </row>
    <row r="42" ht="15.75" customHeight="1">
      <c r="A42" s="5" t="s">
        <v>89</v>
      </c>
      <c r="B42" s="5" t="s">
        <v>325</v>
      </c>
      <c r="C42" s="5">
        <v>13.15</v>
      </c>
      <c r="D42" s="5">
        <v>6.37</v>
      </c>
      <c r="E42" s="5">
        <v>27.14</v>
      </c>
      <c r="F42" s="5">
        <v>33.79</v>
      </c>
      <c r="G42" s="5">
        <v>12.38</v>
      </c>
      <c r="H42" s="5">
        <v>47.81</v>
      </c>
    </row>
    <row r="43" ht="15.75" customHeight="1">
      <c r="A43" s="5" t="s">
        <v>234</v>
      </c>
      <c r="B43" s="5" t="s">
        <v>326</v>
      </c>
      <c r="C43" s="5">
        <v>12.5</v>
      </c>
      <c r="D43" s="5">
        <v>2.53</v>
      </c>
      <c r="E43" s="5">
        <v>61.8</v>
      </c>
      <c r="F43" s="5">
        <v>49.54</v>
      </c>
      <c r="G43" s="5">
        <v>72.97</v>
      </c>
      <c r="H43" s="5">
        <v>65.3</v>
      </c>
    </row>
    <row r="44" ht="15.75" customHeight="1">
      <c r="A44" s="5" t="s">
        <v>37</v>
      </c>
      <c r="B44" s="5" t="s">
        <v>327</v>
      </c>
      <c r="C44" s="5">
        <v>12.38</v>
      </c>
      <c r="D44" s="5">
        <v>7.22</v>
      </c>
      <c r="E44" s="5">
        <v>21.23</v>
      </c>
      <c r="F44" s="5">
        <v>11.04</v>
      </c>
      <c r="G44" s="5">
        <v>13.83</v>
      </c>
      <c r="H44" s="5">
        <v>62.69</v>
      </c>
    </row>
    <row r="45" ht="15.75" customHeight="1">
      <c r="A45" s="5" t="s">
        <v>143</v>
      </c>
      <c r="B45" s="5" t="s">
        <v>328</v>
      </c>
      <c r="C45" s="5">
        <v>11.76</v>
      </c>
      <c r="D45" s="5">
        <v>4.29</v>
      </c>
      <c r="E45" s="5">
        <v>32.25</v>
      </c>
      <c r="F45" s="5">
        <v>39.83</v>
      </c>
      <c r="G45" s="5">
        <v>14.67</v>
      </c>
      <c r="H45" s="5">
        <v>57.42</v>
      </c>
    </row>
    <row r="46" ht="15.75" customHeight="1">
      <c r="A46" s="5" t="s">
        <v>243</v>
      </c>
      <c r="B46" s="5" t="s">
        <v>329</v>
      </c>
      <c r="C46" s="5">
        <v>11.58</v>
      </c>
      <c r="D46" s="5">
        <v>5.8</v>
      </c>
      <c r="E46" s="5">
        <v>23.12</v>
      </c>
      <c r="F46" s="5">
        <v>17.84</v>
      </c>
      <c r="G46" s="5">
        <v>12.18</v>
      </c>
      <c r="H46" s="5">
        <v>56.86</v>
      </c>
    </row>
    <row r="47" ht="15.75" customHeight="1">
      <c r="A47" s="5" t="s">
        <v>151</v>
      </c>
      <c r="B47" s="5" t="s">
        <v>330</v>
      </c>
      <c r="C47" s="5">
        <v>11.4</v>
      </c>
      <c r="D47" s="5">
        <v>2.08</v>
      </c>
      <c r="E47" s="5">
        <v>62.44</v>
      </c>
      <c r="F47" s="5">
        <v>58.76</v>
      </c>
      <c r="G47" s="5">
        <v>65.04</v>
      </c>
      <c r="H47" s="5">
        <v>63.69</v>
      </c>
    </row>
    <row r="48" ht="15.75" customHeight="1">
      <c r="A48" s="5" t="s">
        <v>64</v>
      </c>
      <c r="B48" s="5" t="s">
        <v>331</v>
      </c>
      <c r="C48" s="5">
        <v>11.17</v>
      </c>
      <c r="D48" s="5">
        <v>9.89</v>
      </c>
      <c r="E48" s="5">
        <v>12.62</v>
      </c>
      <c r="F48" s="5">
        <v>19.36</v>
      </c>
      <c r="G48" s="5">
        <v>10.86</v>
      </c>
      <c r="H48" s="5">
        <v>9.57</v>
      </c>
    </row>
    <row r="49" ht="15.75" customHeight="1">
      <c r="A49" s="5" t="s">
        <v>44</v>
      </c>
      <c r="B49" s="5" t="s">
        <v>332</v>
      </c>
      <c r="C49" s="5">
        <v>11.11</v>
      </c>
      <c r="D49" s="5">
        <v>8.69</v>
      </c>
      <c r="E49" s="5">
        <v>14.2</v>
      </c>
      <c r="F49" s="5">
        <v>9.59</v>
      </c>
      <c r="G49" s="5">
        <v>8.18</v>
      </c>
      <c r="H49" s="5">
        <v>36.5</v>
      </c>
    </row>
    <row r="50" ht="15.75" customHeight="1">
      <c r="A50" s="5" t="s">
        <v>189</v>
      </c>
      <c r="B50" s="5" t="s">
        <v>333</v>
      </c>
      <c r="C50" s="5">
        <v>10.82</v>
      </c>
      <c r="D50" s="5">
        <v>4.25</v>
      </c>
      <c r="E50" s="5">
        <v>27.53</v>
      </c>
      <c r="F50" s="5">
        <v>30.76</v>
      </c>
      <c r="G50" s="5">
        <v>14.51</v>
      </c>
      <c r="H50" s="5">
        <v>46.73</v>
      </c>
    </row>
    <row r="51" ht="15.75" customHeight="1">
      <c r="A51" s="5" t="s">
        <v>334</v>
      </c>
      <c r="B51" s="5" t="s">
        <v>335</v>
      </c>
      <c r="C51" s="5">
        <v>10.59</v>
      </c>
      <c r="D51" s="5">
        <v>9.96</v>
      </c>
      <c r="E51" s="5">
        <v>11.26</v>
      </c>
      <c r="F51" s="5">
        <v>7.13</v>
      </c>
      <c r="G51" s="5">
        <v>8.11</v>
      </c>
      <c r="H51" s="5">
        <v>24.66</v>
      </c>
    </row>
    <row r="52" ht="15.75" customHeight="1">
      <c r="A52" s="5" t="s">
        <v>93</v>
      </c>
      <c r="B52" s="5" t="s">
        <v>336</v>
      </c>
      <c r="C52" s="5">
        <v>10.43</v>
      </c>
      <c r="D52" s="5">
        <v>7.63</v>
      </c>
      <c r="E52" s="5">
        <v>14.25</v>
      </c>
      <c r="F52" s="5">
        <v>19.74</v>
      </c>
      <c r="G52" s="5">
        <v>11.68</v>
      </c>
      <c r="H52" s="5">
        <v>12.55</v>
      </c>
    </row>
    <row r="53" ht="15.75" customHeight="1">
      <c r="A53" s="5" t="s">
        <v>153</v>
      </c>
      <c r="B53" s="5" t="s">
        <v>337</v>
      </c>
      <c r="C53" s="5">
        <v>10.42</v>
      </c>
      <c r="D53" s="5">
        <v>2.37</v>
      </c>
      <c r="E53" s="5">
        <v>45.83</v>
      </c>
      <c r="F53" s="5">
        <v>25.01</v>
      </c>
      <c r="G53" s="5">
        <v>56.87</v>
      </c>
      <c r="H53" s="5">
        <v>67.7</v>
      </c>
    </row>
    <row r="54" ht="15.75" customHeight="1">
      <c r="A54" s="5" t="s">
        <v>128</v>
      </c>
      <c r="B54" s="5" t="s">
        <v>338</v>
      </c>
      <c r="C54" s="5">
        <v>10.3</v>
      </c>
      <c r="D54" s="5">
        <v>1.65</v>
      </c>
      <c r="E54" s="5">
        <v>64.26</v>
      </c>
      <c r="F54" s="5">
        <v>57.29</v>
      </c>
      <c r="G54" s="5">
        <v>66.87</v>
      </c>
      <c r="H54" s="5">
        <v>69.28</v>
      </c>
    </row>
    <row r="55" ht="15.75" customHeight="1">
      <c r="A55" s="5" t="s">
        <v>158</v>
      </c>
      <c r="B55" s="5" t="s">
        <v>339</v>
      </c>
      <c r="C55" s="5">
        <v>9.96</v>
      </c>
      <c r="D55" s="5">
        <v>2.78</v>
      </c>
      <c r="E55" s="5">
        <v>35.71</v>
      </c>
      <c r="F55" s="5">
        <v>44.06</v>
      </c>
      <c r="G55" s="5">
        <v>14.65</v>
      </c>
      <c r="H55" s="5">
        <v>70.55</v>
      </c>
    </row>
    <row r="56" ht="15.75" customHeight="1">
      <c r="A56" s="5" t="s">
        <v>105</v>
      </c>
      <c r="B56" s="5" t="s">
        <v>340</v>
      </c>
      <c r="C56" s="5">
        <v>9.91</v>
      </c>
      <c r="D56" s="5">
        <v>2.88</v>
      </c>
      <c r="E56" s="5">
        <v>34.11</v>
      </c>
      <c r="F56" s="5">
        <v>21.04</v>
      </c>
      <c r="G56" s="5">
        <v>44.02</v>
      </c>
      <c r="H56" s="5">
        <v>42.85</v>
      </c>
    </row>
    <row r="57" ht="15.75" customHeight="1">
      <c r="A57" s="5" t="s">
        <v>341</v>
      </c>
      <c r="B57" s="5" t="s">
        <v>342</v>
      </c>
      <c r="C57" s="5">
        <v>9.87</v>
      </c>
      <c r="D57" s="5">
        <v>1.37</v>
      </c>
      <c r="E57" s="5">
        <v>71.04</v>
      </c>
      <c r="F57" s="5">
        <v>68.89</v>
      </c>
      <c r="G57" s="5">
        <v>73.82</v>
      </c>
      <c r="H57" s="5">
        <v>70.5</v>
      </c>
    </row>
    <row r="58" ht="15.75" customHeight="1">
      <c r="A58" s="5" t="s">
        <v>42</v>
      </c>
      <c r="B58" s="5" t="s">
        <v>343</v>
      </c>
      <c r="C58" s="5">
        <v>9.74</v>
      </c>
      <c r="D58" s="5">
        <v>7.77</v>
      </c>
      <c r="E58" s="5">
        <v>12.21</v>
      </c>
      <c r="F58" s="5">
        <v>7.02</v>
      </c>
      <c r="G58" s="5">
        <v>7.98</v>
      </c>
      <c r="H58" s="5">
        <v>32.46</v>
      </c>
    </row>
    <row r="59" ht="15.75" customHeight="1">
      <c r="A59" s="5" t="s">
        <v>107</v>
      </c>
      <c r="B59" s="5" t="s">
        <v>344</v>
      </c>
      <c r="C59" s="5">
        <v>9.64</v>
      </c>
      <c r="D59" s="5">
        <v>2.62</v>
      </c>
      <c r="E59" s="5">
        <v>35.49</v>
      </c>
      <c r="F59" s="5">
        <v>18.12</v>
      </c>
      <c r="G59" s="5">
        <v>49.06</v>
      </c>
      <c r="H59" s="5">
        <v>50.28</v>
      </c>
    </row>
    <row r="60" ht="15.75" customHeight="1">
      <c r="A60" s="5" t="s">
        <v>53</v>
      </c>
      <c r="B60" s="5" t="s">
        <v>345</v>
      </c>
      <c r="C60" s="5">
        <v>9.6</v>
      </c>
      <c r="D60" s="5">
        <v>3.13</v>
      </c>
      <c r="E60" s="5">
        <v>29.46</v>
      </c>
      <c r="F60" s="5">
        <v>38.19</v>
      </c>
      <c r="G60" s="5">
        <v>12.97</v>
      </c>
      <c r="H60" s="5">
        <v>51.6</v>
      </c>
    </row>
    <row r="61" ht="15.75" customHeight="1">
      <c r="A61" s="5" t="s">
        <v>39</v>
      </c>
      <c r="B61" s="5" t="s">
        <v>346</v>
      </c>
      <c r="C61" s="5">
        <v>9.34</v>
      </c>
      <c r="D61" s="5">
        <v>5.25</v>
      </c>
      <c r="E61" s="5">
        <v>16.63</v>
      </c>
      <c r="F61" s="5">
        <v>7.84</v>
      </c>
      <c r="G61" s="5">
        <v>19.98</v>
      </c>
      <c r="H61" s="5">
        <v>29.37</v>
      </c>
    </row>
    <row r="62" ht="15.75" customHeight="1">
      <c r="A62" s="5" t="s">
        <v>117</v>
      </c>
      <c r="B62" s="5" t="s">
        <v>347</v>
      </c>
      <c r="C62" s="5">
        <v>9.33</v>
      </c>
      <c r="D62" s="5">
        <v>1.32</v>
      </c>
      <c r="E62" s="5">
        <v>65.88</v>
      </c>
      <c r="F62" s="5">
        <v>59.4</v>
      </c>
      <c r="G62" s="5">
        <v>67.9</v>
      </c>
      <c r="H62" s="5">
        <v>70.89</v>
      </c>
    </row>
    <row r="63" ht="15.75" customHeight="1">
      <c r="A63" s="5" t="s">
        <v>215</v>
      </c>
      <c r="B63" s="5" t="s">
        <v>348</v>
      </c>
      <c r="C63" s="5">
        <v>9.32</v>
      </c>
      <c r="D63" s="5">
        <v>2.91</v>
      </c>
      <c r="E63" s="5">
        <v>29.85</v>
      </c>
      <c r="F63" s="5">
        <v>29.75</v>
      </c>
      <c r="G63" s="5">
        <v>14.55</v>
      </c>
      <c r="H63" s="5">
        <v>61.47</v>
      </c>
    </row>
    <row r="64" ht="15.75" customHeight="1">
      <c r="A64" s="5" t="s">
        <v>91</v>
      </c>
      <c r="B64" s="5" t="s">
        <v>349</v>
      </c>
      <c r="C64" s="5">
        <v>9.24</v>
      </c>
      <c r="D64" s="5">
        <v>1.72</v>
      </c>
      <c r="E64" s="5">
        <v>49.67</v>
      </c>
      <c r="F64" s="5">
        <v>38.42</v>
      </c>
      <c r="G64" s="5">
        <v>66.13</v>
      </c>
      <c r="H64" s="5">
        <v>48.24</v>
      </c>
    </row>
    <row r="65" ht="15.75" customHeight="1">
      <c r="A65" s="5" t="s">
        <v>62</v>
      </c>
      <c r="B65" s="5" t="s">
        <v>350</v>
      </c>
      <c r="C65" s="5">
        <v>8.61</v>
      </c>
      <c r="D65" s="5">
        <v>8.25</v>
      </c>
      <c r="E65" s="5">
        <v>8.98</v>
      </c>
      <c r="F65" s="5">
        <v>8.6</v>
      </c>
      <c r="G65" s="5">
        <v>8.87</v>
      </c>
      <c r="H65" s="5">
        <v>9.49</v>
      </c>
    </row>
    <row r="66" ht="15.75" customHeight="1">
      <c r="A66" s="5" t="s">
        <v>133</v>
      </c>
      <c r="B66" s="5" t="s">
        <v>351</v>
      </c>
      <c r="C66" s="5">
        <v>8.15</v>
      </c>
      <c r="D66" s="5">
        <v>2.47</v>
      </c>
      <c r="E66" s="5">
        <v>26.92</v>
      </c>
      <c r="F66" s="5">
        <v>29.55</v>
      </c>
      <c r="G66" s="5">
        <v>13.71</v>
      </c>
      <c r="H66" s="5">
        <v>48.14</v>
      </c>
    </row>
    <row r="67" ht="15.75" customHeight="1">
      <c r="A67" s="5" t="s">
        <v>41</v>
      </c>
      <c r="B67" s="5" t="s">
        <v>352</v>
      </c>
      <c r="C67" s="5">
        <v>8.06</v>
      </c>
      <c r="D67" s="5">
        <v>6.68</v>
      </c>
      <c r="E67" s="5">
        <v>9.72</v>
      </c>
      <c r="F67" s="5">
        <v>10.12</v>
      </c>
      <c r="G67" s="5">
        <v>4.82</v>
      </c>
      <c r="H67" s="5">
        <v>18.84</v>
      </c>
    </row>
    <row r="68" ht="15.75" customHeight="1">
      <c r="A68" s="5" t="s">
        <v>135</v>
      </c>
      <c r="B68" s="5" t="s">
        <v>353</v>
      </c>
      <c r="C68" s="5">
        <v>7.97</v>
      </c>
      <c r="D68" s="5">
        <v>2.5</v>
      </c>
      <c r="E68" s="5">
        <v>25.44</v>
      </c>
      <c r="F68" s="5">
        <v>27.78</v>
      </c>
      <c r="G68" s="5">
        <v>12.61</v>
      </c>
      <c r="H68" s="5">
        <v>47.02</v>
      </c>
    </row>
    <row r="69" ht="15.75" customHeight="1">
      <c r="A69" s="5" t="s">
        <v>125</v>
      </c>
      <c r="B69" s="5" t="s">
        <v>354</v>
      </c>
      <c r="C69" s="5">
        <v>7.8</v>
      </c>
      <c r="D69" s="5">
        <v>4.57</v>
      </c>
      <c r="E69" s="5">
        <v>13.31</v>
      </c>
      <c r="F69" s="5">
        <v>13.12</v>
      </c>
      <c r="G69" s="5">
        <v>10.24</v>
      </c>
      <c r="H69" s="5">
        <v>17.54</v>
      </c>
    </row>
    <row r="70" ht="15.75" customHeight="1">
      <c r="A70" s="5" t="s">
        <v>237</v>
      </c>
      <c r="B70" s="5" t="s">
        <v>355</v>
      </c>
      <c r="C70" s="5">
        <v>7.55</v>
      </c>
      <c r="D70" s="5">
        <v>2.93</v>
      </c>
      <c r="E70" s="5">
        <v>19.46</v>
      </c>
      <c r="F70" s="5">
        <v>10.71</v>
      </c>
      <c r="G70" s="5">
        <v>12.45</v>
      </c>
      <c r="H70" s="5">
        <v>55.27</v>
      </c>
    </row>
    <row r="71" ht="15.75" customHeight="1">
      <c r="A71" s="5" t="s">
        <v>35</v>
      </c>
      <c r="B71" s="5" t="s">
        <v>356</v>
      </c>
      <c r="C71" s="5">
        <v>7.54</v>
      </c>
      <c r="D71" s="5">
        <v>2.7</v>
      </c>
      <c r="E71" s="5">
        <v>21.03</v>
      </c>
      <c r="F71" s="5">
        <v>8.69</v>
      </c>
      <c r="G71" s="5">
        <v>30.55</v>
      </c>
      <c r="H71" s="5">
        <v>35.03</v>
      </c>
    </row>
    <row r="72" ht="15.75" customHeight="1">
      <c r="A72" s="5" t="s">
        <v>192</v>
      </c>
      <c r="B72" s="5" t="s">
        <v>357</v>
      </c>
      <c r="C72" s="5">
        <v>7.47</v>
      </c>
      <c r="D72" s="5">
        <v>2.3</v>
      </c>
      <c r="E72" s="5">
        <v>24.26</v>
      </c>
      <c r="F72" s="5">
        <v>18.3</v>
      </c>
      <c r="G72" s="5">
        <v>14.67</v>
      </c>
      <c r="H72" s="5">
        <v>53.2</v>
      </c>
    </row>
    <row r="73" ht="15.75" customHeight="1">
      <c r="A73" s="5" t="s">
        <v>152</v>
      </c>
      <c r="B73" s="5" t="s">
        <v>358</v>
      </c>
      <c r="C73" s="5">
        <v>7.35</v>
      </c>
      <c r="D73" s="5">
        <v>2.63</v>
      </c>
      <c r="E73" s="5">
        <v>20.55</v>
      </c>
      <c r="F73" s="5">
        <v>18.39</v>
      </c>
      <c r="G73" s="5">
        <v>11.67</v>
      </c>
      <c r="H73" s="5">
        <v>40.44</v>
      </c>
    </row>
    <row r="74" ht="15.75" customHeight="1">
      <c r="A74" s="5" t="s">
        <v>233</v>
      </c>
      <c r="B74" s="5" t="s">
        <v>359</v>
      </c>
      <c r="C74" s="5">
        <v>6.76</v>
      </c>
      <c r="D74" s="5">
        <v>1.78</v>
      </c>
      <c r="E74" s="5">
        <v>25.7</v>
      </c>
      <c r="F74" s="5">
        <v>26.73</v>
      </c>
      <c r="G74" s="5">
        <v>11.45</v>
      </c>
      <c r="H74" s="5">
        <v>55.45</v>
      </c>
    </row>
    <row r="75" ht="15.75" customHeight="1">
      <c r="A75" s="5" t="s">
        <v>141</v>
      </c>
      <c r="B75" s="5" t="s">
        <v>360</v>
      </c>
      <c r="C75" s="5">
        <v>6.7</v>
      </c>
      <c r="D75" s="5">
        <v>2.79</v>
      </c>
      <c r="E75" s="5">
        <v>16.07</v>
      </c>
      <c r="F75" s="5">
        <v>20.62</v>
      </c>
      <c r="G75" s="5">
        <v>11.55</v>
      </c>
      <c r="H75" s="5">
        <v>17.43</v>
      </c>
    </row>
    <row r="76" ht="15.75" customHeight="1">
      <c r="A76" s="5" t="s">
        <v>200</v>
      </c>
      <c r="B76" s="5" t="s">
        <v>361</v>
      </c>
      <c r="C76" s="5">
        <v>6.55</v>
      </c>
      <c r="D76" s="5">
        <v>1.47</v>
      </c>
      <c r="E76" s="5">
        <v>29.17</v>
      </c>
      <c r="F76" s="5">
        <v>23.61</v>
      </c>
      <c r="G76" s="5">
        <v>14.68</v>
      </c>
      <c r="H76" s="5">
        <v>71.64</v>
      </c>
    </row>
    <row r="77" ht="15.75" customHeight="1">
      <c r="A77" s="5" t="s">
        <v>78</v>
      </c>
      <c r="B77" s="5" t="s">
        <v>362</v>
      </c>
      <c r="C77" s="5">
        <v>6.24</v>
      </c>
      <c r="D77" s="5">
        <v>2.29</v>
      </c>
      <c r="E77" s="5">
        <v>17.01</v>
      </c>
      <c r="F77" s="5">
        <v>11.61</v>
      </c>
      <c r="G77" s="5">
        <v>11.1</v>
      </c>
      <c r="H77" s="5">
        <v>38.18</v>
      </c>
    </row>
    <row r="78" ht="15.75" customHeight="1">
      <c r="A78" s="5" t="s">
        <v>112</v>
      </c>
      <c r="B78" s="5" t="s">
        <v>363</v>
      </c>
      <c r="C78" s="5">
        <v>6.16</v>
      </c>
      <c r="D78" s="5">
        <v>1.6</v>
      </c>
      <c r="E78" s="5">
        <v>23.75</v>
      </c>
      <c r="F78" s="5">
        <v>24.65</v>
      </c>
      <c r="G78" s="5">
        <v>12.28</v>
      </c>
      <c r="H78" s="5">
        <v>44.28</v>
      </c>
    </row>
    <row r="79" ht="15.75" customHeight="1">
      <c r="A79" s="5" t="s">
        <v>227</v>
      </c>
      <c r="B79" s="5" t="s">
        <v>364</v>
      </c>
      <c r="C79" s="5">
        <v>5.72</v>
      </c>
      <c r="D79" s="5">
        <v>1.09</v>
      </c>
      <c r="E79" s="5">
        <v>29.97</v>
      </c>
      <c r="F79" s="5">
        <v>32.02</v>
      </c>
      <c r="G79" s="5">
        <v>12.94</v>
      </c>
      <c r="H79" s="5">
        <v>64.95</v>
      </c>
    </row>
    <row r="80" ht="15.75" customHeight="1">
      <c r="A80" s="5" t="s">
        <v>22</v>
      </c>
      <c r="B80" s="5" t="s">
        <v>365</v>
      </c>
      <c r="C80" s="5">
        <v>5.7</v>
      </c>
      <c r="D80" s="5">
        <v>2.58</v>
      </c>
      <c r="E80" s="5">
        <v>12.59</v>
      </c>
      <c r="F80" s="5">
        <v>6.67</v>
      </c>
      <c r="G80" s="5">
        <v>7.76</v>
      </c>
      <c r="H80" s="5">
        <v>38.6</v>
      </c>
    </row>
    <row r="81" ht="15.75" customHeight="1">
      <c r="A81" s="5" t="s">
        <v>225</v>
      </c>
      <c r="B81" s="5" t="s">
        <v>366</v>
      </c>
      <c r="C81" s="5">
        <v>5.66</v>
      </c>
      <c r="D81" s="5">
        <v>1.05</v>
      </c>
      <c r="E81" s="5">
        <v>30.5</v>
      </c>
      <c r="F81" s="5">
        <v>39.77</v>
      </c>
      <c r="G81" s="5">
        <v>12.47</v>
      </c>
      <c r="H81" s="5">
        <v>57.21</v>
      </c>
    </row>
    <row r="82" ht="15.75" customHeight="1">
      <c r="A82" s="5" t="s">
        <v>367</v>
      </c>
      <c r="B82" s="5" t="s">
        <v>368</v>
      </c>
      <c r="C82" s="5">
        <v>5.49</v>
      </c>
      <c r="D82" s="5">
        <v>0.57</v>
      </c>
      <c r="E82" s="5">
        <v>52.84</v>
      </c>
      <c r="F82" s="5">
        <v>45.68</v>
      </c>
      <c r="G82" s="5">
        <v>57.13</v>
      </c>
      <c r="H82" s="5">
        <v>56.52</v>
      </c>
    </row>
    <row r="83" ht="15.75" customHeight="1">
      <c r="A83" s="5" t="s">
        <v>147</v>
      </c>
      <c r="B83" s="5" t="s">
        <v>369</v>
      </c>
      <c r="C83" s="5">
        <v>5.4</v>
      </c>
      <c r="D83" s="5">
        <v>1.32</v>
      </c>
      <c r="E83" s="5">
        <v>22.12</v>
      </c>
      <c r="F83" s="5">
        <v>17.99</v>
      </c>
      <c r="G83" s="5">
        <v>11.12</v>
      </c>
      <c r="H83" s="5">
        <v>54.08</v>
      </c>
    </row>
    <row r="84" ht="15.75" customHeight="1">
      <c r="A84" s="5" t="s">
        <v>33</v>
      </c>
      <c r="B84" s="5" t="s">
        <v>370</v>
      </c>
      <c r="C84" s="5">
        <v>5.1</v>
      </c>
      <c r="D84" s="5">
        <v>1.84</v>
      </c>
      <c r="E84" s="5">
        <v>14.13</v>
      </c>
      <c r="F84" s="5">
        <v>5.93</v>
      </c>
      <c r="G84" s="5">
        <v>18.56</v>
      </c>
      <c r="H84" s="5">
        <v>25.62</v>
      </c>
    </row>
    <row r="85" ht="15.75" customHeight="1">
      <c r="A85" s="5" t="s">
        <v>195</v>
      </c>
      <c r="B85" s="5" t="s">
        <v>371</v>
      </c>
      <c r="C85" s="5">
        <v>5.08</v>
      </c>
      <c r="D85" s="5">
        <v>1.5</v>
      </c>
      <c r="E85" s="5">
        <v>17.21</v>
      </c>
      <c r="F85" s="5">
        <v>15.92</v>
      </c>
      <c r="G85" s="5">
        <v>6.29</v>
      </c>
      <c r="H85" s="5">
        <v>50.9</v>
      </c>
    </row>
    <row r="86" ht="15.75" customHeight="1">
      <c r="A86" s="5" t="s">
        <v>56</v>
      </c>
      <c r="B86" s="5" t="s">
        <v>372</v>
      </c>
      <c r="C86" s="5">
        <v>5.08</v>
      </c>
      <c r="D86" s="5">
        <v>3.07</v>
      </c>
      <c r="E86" s="5">
        <v>8.4</v>
      </c>
      <c r="F86" s="5">
        <v>10.83</v>
      </c>
      <c r="G86" s="5">
        <v>3.95</v>
      </c>
      <c r="H86" s="5">
        <v>13.86</v>
      </c>
    </row>
    <row r="87" ht="15.75" customHeight="1">
      <c r="A87" s="5" t="s">
        <v>63</v>
      </c>
      <c r="B87" s="5" t="s">
        <v>373</v>
      </c>
      <c r="C87" s="5">
        <v>4.97</v>
      </c>
      <c r="D87" s="5">
        <v>1.54</v>
      </c>
      <c r="E87" s="5">
        <v>16.07</v>
      </c>
      <c r="F87" s="5">
        <v>12.18</v>
      </c>
      <c r="G87" s="5">
        <v>8.7</v>
      </c>
      <c r="H87" s="5">
        <v>39.13</v>
      </c>
    </row>
    <row r="88" ht="15.75" customHeight="1">
      <c r="A88" s="5" t="s">
        <v>374</v>
      </c>
      <c r="B88" s="5" t="s">
        <v>375</v>
      </c>
      <c r="C88" s="5">
        <v>4.89</v>
      </c>
      <c r="D88" s="5">
        <v>0.67</v>
      </c>
      <c r="E88" s="5">
        <v>35.72</v>
      </c>
      <c r="F88" s="5">
        <v>55.58</v>
      </c>
      <c r="G88" s="5">
        <v>12.6</v>
      </c>
      <c r="H88" s="5">
        <v>65.07</v>
      </c>
    </row>
    <row r="89" ht="15.75" customHeight="1">
      <c r="A89" s="5" t="s">
        <v>130</v>
      </c>
      <c r="B89" s="5" t="s">
        <v>376</v>
      </c>
      <c r="C89" s="5">
        <v>4.86</v>
      </c>
      <c r="D89" s="5">
        <v>0.36</v>
      </c>
      <c r="E89" s="5">
        <v>65.69</v>
      </c>
      <c r="F89" s="5">
        <v>62.86</v>
      </c>
      <c r="G89" s="5">
        <v>63.96</v>
      </c>
      <c r="H89" s="5">
        <v>70.49</v>
      </c>
    </row>
    <row r="90" ht="15.75" customHeight="1">
      <c r="A90" s="5" t="s">
        <v>142</v>
      </c>
      <c r="B90" s="5" t="s">
        <v>377</v>
      </c>
      <c r="C90" s="5">
        <v>4.82</v>
      </c>
      <c r="D90" s="5">
        <v>1.51</v>
      </c>
      <c r="E90" s="5">
        <v>15.36</v>
      </c>
      <c r="F90" s="5">
        <v>8.97</v>
      </c>
      <c r="G90" s="5">
        <v>9.64</v>
      </c>
      <c r="H90" s="5">
        <v>41.88</v>
      </c>
    </row>
    <row r="91" ht="15.75" customHeight="1">
      <c r="A91" s="5" t="s">
        <v>51</v>
      </c>
      <c r="B91" s="5" t="s">
        <v>378</v>
      </c>
      <c r="C91" s="5">
        <v>4.78</v>
      </c>
      <c r="D91" s="5">
        <v>1.57</v>
      </c>
      <c r="E91" s="5">
        <v>14.56</v>
      </c>
      <c r="F91" s="5">
        <v>8.55</v>
      </c>
      <c r="G91" s="5">
        <v>9.39</v>
      </c>
      <c r="H91" s="5">
        <v>38.42</v>
      </c>
    </row>
    <row r="92" ht="15.75" customHeight="1">
      <c r="A92" s="5" t="s">
        <v>49</v>
      </c>
      <c r="B92" s="5" t="s">
        <v>379</v>
      </c>
      <c r="C92" s="5">
        <v>4.74</v>
      </c>
      <c r="D92" s="5">
        <v>1.73</v>
      </c>
      <c r="E92" s="5">
        <v>13.01</v>
      </c>
      <c r="F92" s="5">
        <v>6.77</v>
      </c>
      <c r="G92" s="5">
        <v>7.71</v>
      </c>
      <c r="H92" s="5">
        <v>42.22</v>
      </c>
    </row>
    <row r="93" ht="15.75" customHeight="1">
      <c r="A93" s="5" t="s">
        <v>23</v>
      </c>
      <c r="B93" s="5" t="s">
        <v>380</v>
      </c>
      <c r="C93" s="5">
        <v>4.54</v>
      </c>
      <c r="D93" s="5">
        <v>3.77</v>
      </c>
      <c r="E93" s="5">
        <v>5.46</v>
      </c>
      <c r="F93" s="5">
        <v>2.29</v>
      </c>
      <c r="G93" s="5">
        <v>2.38</v>
      </c>
      <c r="H93" s="5">
        <v>29.82</v>
      </c>
    </row>
    <row r="94" ht="15.75" customHeight="1">
      <c r="A94" s="5" t="s">
        <v>381</v>
      </c>
      <c r="B94" s="5" t="s">
        <v>382</v>
      </c>
      <c r="C94" s="5">
        <v>4.44</v>
      </c>
      <c r="D94" s="5">
        <v>1.12</v>
      </c>
      <c r="E94" s="5">
        <v>17.62</v>
      </c>
      <c r="F94" s="5">
        <v>9.92</v>
      </c>
      <c r="G94" s="5">
        <v>10.97</v>
      </c>
      <c r="H94" s="5">
        <v>50.23</v>
      </c>
    </row>
    <row r="95" ht="15.75" customHeight="1">
      <c r="A95" s="5" t="s">
        <v>92</v>
      </c>
      <c r="B95" s="5" t="s">
        <v>383</v>
      </c>
      <c r="C95" s="5">
        <v>4.41</v>
      </c>
      <c r="D95" s="5">
        <v>0.48</v>
      </c>
      <c r="E95" s="5">
        <v>40.55</v>
      </c>
      <c r="F95" s="5">
        <v>28.33</v>
      </c>
      <c r="G95" s="5">
        <v>43.9</v>
      </c>
      <c r="H95" s="5">
        <v>53.62</v>
      </c>
    </row>
    <row r="96" ht="15.75" customHeight="1">
      <c r="A96" s="5" t="s">
        <v>229</v>
      </c>
      <c r="B96" s="5" t="s">
        <v>384</v>
      </c>
      <c r="C96" s="5">
        <v>4.25</v>
      </c>
      <c r="D96" s="5">
        <v>0.25</v>
      </c>
      <c r="E96" s="5">
        <v>72.39</v>
      </c>
      <c r="F96" s="5">
        <v>71.48</v>
      </c>
      <c r="G96" s="5">
        <v>69.34</v>
      </c>
      <c r="H96" s="5">
        <v>76.55</v>
      </c>
    </row>
    <row r="97" ht="15.75" customHeight="1">
      <c r="A97" s="5" t="s">
        <v>157</v>
      </c>
      <c r="B97" s="5" t="s">
        <v>385</v>
      </c>
      <c r="C97" s="5">
        <v>4.12</v>
      </c>
      <c r="D97" s="5">
        <v>0.25</v>
      </c>
      <c r="E97" s="5">
        <v>67.77</v>
      </c>
      <c r="F97" s="5">
        <v>56.66</v>
      </c>
      <c r="G97" s="5">
        <v>78.94</v>
      </c>
      <c r="H97" s="5">
        <v>69.6</v>
      </c>
    </row>
    <row r="98" ht="15.75" customHeight="1">
      <c r="A98" s="5" t="s">
        <v>20</v>
      </c>
      <c r="B98" s="5" t="s">
        <v>386</v>
      </c>
      <c r="C98" s="5">
        <v>4.11</v>
      </c>
      <c r="D98" s="5">
        <v>2.2</v>
      </c>
      <c r="E98" s="5">
        <v>7.66</v>
      </c>
      <c r="F98" s="5">
        <v>4.33</v>
      </c>
      <c r="G98" s="5">
        <v>3.29</v>
      </c>
      <c r="H98" s="5">
        <v>31.58</v>
      </c>
    </row>
    <row r="99" ht="15.75" customHeight="1">
      <c r="A99" s="5" t="s">
        <v>28</v>
      </c>
      <c r="B99" s="5" t="s">
        <v>387</v>
      </c>
      <c r="C99" s="5">
        <v>4.1</v>
      </c>
      <c r="D99" s="5">
        <v>1.99</v>
      </c>
      <c r="E99" s="5">
        <v>8.46</v>
      </c>
      <c r="F99" s="5">
        <v>5.18</v>
      </c>
      <c r="G99" s="5">
        <v>3.24</v>
      </c>
      <c r="H99" s="5">
        <v>36.06</v>
      </c>
    </row>
    <row r="100" ht="15.75" customHeight="1">
      <c r="A100" s="5" t="s">
        <v>239</v>
      </c>
      <c r="B100" s="5" t="s">
        <v>388</v>
      </c>
      <c r="C100" s="5">
        <v>4.02</v>
      </c>
      <c r="D100" s="5">
        <v>1.33</v>
      </c>
      <c r="E100" s="5">
        <v>12.13</v>
      </c>
      <c r="F100" s="5">
        <v>12.89</v>
      </c>
      <c r="G100" s="5">
        <v>11.5</v>
      </c>
      <c r="H100" s="5">
        <v>12.03</v>
      </c>
    </row>
    <row r="101" ht="15.75" customHeight="1">
      <c r="A101" s="5" t="s">
        <v>83</v>
      </c>
      <c r="B101" s="5" t="s">
        <v>389</v>
      </c>
      <c r="C101" s="5">
        <v>3.87</v>
      </c>
      <c r="D101" s="5">
        <v>0.38</v>
      </c>
      <c r="E101" s="5">
        <v>39.33</v>
      </c>
      <c r="F101" s="5">
        <v>21.14</v>
      </c>
      <c r="G101" s="5">
        <v>50.25</v>
      </c>
      <c r="H101" s="5">
        <v>57.26</v>
      </c>
    </row>
    <row r="102" ht="15.75" customHeight="1">
      <c r="A102" s="5" t="s">
        <v>27</v>
      </c>
      <c r="B102" s="5" t="s">
        <v>390</v>
      </c>
      <c r="C102" s="5">
        <v>3.81</v>
      </c>
      <c r="D102" s="5">
        <v>0.88</v>
      </c>
      <c r="E102" s="5">
        <v>16.51</v>
      </c>
      <c r="F102" s="5">
        <v>8.55</v>
      </c>
      <c r="G102" s="5">
        <v>16.79</v>
      </c>
      <c r="H102" s="5">
        <v>31.34</v>
      </c>
    </row>
    <row r="103" ht="15.75" customHeight="1">
      <c r="A103" s="5" t="s">
        <v>86</v>
      </c>
      <c r="B103" s="5" t="s">
        <v>391</v>
      </c>
      <c r="C103" s="5">
        <v>3.74</v>
      </c>
      <c r="D103" s="5">
        <v>0.73</v>
      </c>
      <c r="E103" s="5">
        <v>19.18</v>
      </c>
      <c r="F103" s="5">
        <v>19.21</v>
      </c>
      <c r="G103" s="5">
        <v>9.63</v>
      </c>
      <c r="H103" s="5">
        <v>38.13</v>
      </c>
    </row>
    <row r="104" ht="15.75" customHeight="1">
      <c r="A104" s="5" t="s">
        <v>76</v>
      </c>
      <c r="B104" s="5" t="s">
        <v>392</v>
      </c>
      <c r="C104" s="5">
        <v>3.61</v>
      </c>
      <c r="D104" s="5">
        <v>0.57</v>
      </c>
      <c r="E104" s="5">
        <v>22.88</v>
      </c>
      <c r="F104" s="5">
        <v>13.11</v>
      </c>
      <c r="G104" s="5">
        <v>20.54</v>
      </c>
      <c r="H104" s="5">
        <v>44.5</v>
      </c>
    </row>
    <row r="105" ht="15.75" customHeight="1">
      <c r="A105" s="5" t="s">
        <v>75</v>
      </c>
      <c r="B105" s="5" t="s">
        <v>393</v>
      </c>
      <c r="C105" s="5">
        <v>3.58</v>
      </c>
      <c r="D105" s="5">
        <v>0.73</v>
      </c>
      <c r="E105" s="5">
        <v>17.59</v>
      </c>
      <c r="F105" s="5">
        <v>13.4</v>
      </c>
      <c r="G105" s="5">
        <v>9.6</v>
      </c>
      <c r="H105" s="5">
        <v>42.3</v>
      </c>
    </row>
    <row r="106" ht="15.75" customHeight="1">
      <c r="A106" s="5" t="s">
        <v>201</v>
      </c>
      <c r="B106" s="5" t="s">
        <v>394</v>
      </c>
      <c r="C106" s="5">
        <v>3.55</v>
      </c>
      <c r="D106" s="5">
        <v>0.67</v>
      </c>
      <c r="E106" s="5">
        <v>18.84</v>
      </c>
      <c r="F106" s="5">
        <v>14.1</v>
      </c>
      <c r="G106" s="5">
        <v>7.04</v>
      </c>
      <c r="H106" s="5">
        <v>67.37</v>
      </c>
    </row>
    <row r="107" ht="15.75" customHeight="1">
      <c r="A107" s="5" t="s">
        <v>43</v>
      </c>
      <c r="B107" s="5" t="s">
        <v>395</v>
      </c>
      <c r="C107" s="5">
        <v>3.5</v>
      </c>
      <c r="D107" s="5">
        <v>1.02</v>
      </c>
      <c r="E107" s="5">
        <v>12.04</v>
      </c>
      <c r="F107" s="5">
        <v>7.03</v>
      </c>
      <c r="G107" s="5">
        <v>7.84</v>
      </c>
      <c r="H107" s="5">
        <v>31.69</v>
      </c>
    </row>
    <row r="108" ht="15.75" customHeight="1">
      <c r="A108" s="5" t="s">
        <v>182</v>
      </c>
      <c r="B108" s="5" t="s">
        <v>396</v>
      </c>
      <c r="C108" s="5">
        <v>3.44</v>
      </c>
      <c r="D108" s="5">
        <v>0.16</v>
      </c>
      <c r="E108" s="5">
        <v>73.86</v>
      </c>
      <c r="F108" s="5">
        <v>74.75</v>
      </c>
      <c r="G108" s="5">
        <v>70.16</v>
      </c>
      <c r="H108" s="5">
        <v>76.82</v>
      </c>
    </row>
    <row r="109" ht="15.75" customHeight="1">
      <c r="A109" s="5" t="s">
        <v>154</v>
      </c>
      <c r="B109" s="5" t="s">
        <v>397</v>
      </c>
      <c r="C109" s="5">
        <v>3.4</v>
      </c>
      <c r="D109" s="5">
        <v>1.1</v>
      </c>
      <c r="E109" s="5">
        <v>10.54</v>
      </c>
      <c r="F109" s="5">
        <v>8.86</v>
      </c>
      <c r="G109" s="5">
        <v>2.89</v>
      </c>
      <c r="H109" s="5">
        <v>45.7</v>
      </c>
    </row>
    <row r="110" ht="15.75" customHeight="1">
      <c r="A110" s="5" t="s">
        <v>211</v>
      </c>
      <c r="B110" s="5" t="s">
        <v>398</v>
      </c>
      <c r="C110" s="5">
        <v>3.37</v>
      </c>
      <c r="D110" s="5">
        <v>0.35</v>
      </c>
      <c r="E110" s="5">
        <v>32.44</v>
      </c>
      <c r="F110" s="5">
        <v>34.28</v>
      </c>
      <c r="G110" s="5">
        <v>14.59</v>
      </c>
      <c r="H110" s="5">
        <v>68.28</v>
      </c>
    </row>
    <row r="111" ht="15.75" customHeight="1">
      <c r="A111" s="5" t="s">
        <v>191</v>
      </c>
      <c r="B111" s="5" t="s">
        <v>399</v>
      </c>
      <c r="C111" s="5">
        <v>3.25</v>
      </c>
      <c r="D111" s="5">
        <v>0.86</v>
      </c>
      <c r="E111" s="5">
        <v>12.31</v>
      </c>
      <c r="F111" s="5">
        <v>10.68</v>
      </c>
      <c r="G111" s="5">
        <v>3.58</v>
      </c>
      <c r="H111" s="5">
        <v>48.77</v>
      </c>
    </row>
    <row r="112" ht="15.75" customHeight="1">
      <c r="A112" s="5" t="s">
        <v>223</v>
      </c>
      <c r="B112" s="5" t="s">
        <v>400</v>
      </c>
      <c r="C112" s="5">
        <v>3.23</v>
      </c>
      <c r="D112" s="5">
        <v>0.81</v>
      </c>
      <c r="E112" s="5">
        <v>12.88</v>
      </c>
      <c r="F112" s="5">
        <v>15.24</v>
      </c>
      <c r="G112" s="5">
        <v>2.59</v>
      </c>
      <c r="H112" s="5">
        <v>54.18</v>
      </c>
    </row>
    <row r="113" ht="15.75" customHeight="1">
      <c r="A113" s="5" t="s">
        <v>29</v>
      </c>
      <c r="B113" s="5" t="s">
        <v>401</v>
      </c>
      <c r="C113" s="5">
        <v>3.23</v>
      </c>
      <c r="D113" s="5">
        <v>1.05</v>
      </c>
      <c r="E113" s="5">
        <v>9.95</v>
      </c>
      <c r="F113" s="5">
        <v>5.63</v>
      </c>
      <c r="G113" s="5">
        <v>6.47</v>
      </c>
      <c r="H113" s="5">
        <v>27.04</v>
      </c>
    </row>
    <row r="114" ht="15.75" customHeight="1">
      <c r="A114" s="5" t="s">
        <v>60</v>
      </c>
      <c r="B114" s="5" t="s">
        <v>402</v>
      </c>
      <c r="C114" s="5">
        <v>3.22</v>
      </c>
      <c r="D114" s="5">
        <v>0.71</v>
      </c>
      <c r="E114" s="5">
        <v>14.59</v>
      </c>
      <c r="F114" s="5">
        <v>7.63</v>
      </c>
      <c r="G114" s="5">
        <v>8.44</v>
      </c>
      <c r="H114" s="5">
        <v>48.23</v>
      </c>
    </row>
    <row r="115" ht="15.75" customHeight="1">
      <c r="A115" s="5" t="s">
        <v>403</v>
      </c>
      <c r="B115" s="5" t="s">
        <v>404</v>
      </c>
      <c r="C115" s="5">
        <v>3.2</v>
      </c>
      <c r="D115" s="5">
        <v>0.35</v>
      </c>
      <c r="E115" s="5">
        <v>29.17</v>
      </c>
      <c r="F115" s="5">
        <v>36.64</v>
      </c>
      <c r="G115" s="5">
        <v>13.51</v>
      </c>
      <c r="H115" s="5">
        <v>50.13</v>
      </c>
    </row>
    <row r="116" ht="15.75" customHeight="1">
      <c r="A116" s="5" t="s">
        <v>213</v>
      </c>
      <c r="B116" s="5" t="s">
        <v>405</v>
      </c>
      <c r="C116" s="5">
        <v>3.12</v>
      </c>
      <c r="D116" s="5">
        <v>0.5</v>
      </c>
      <c r="E116" s="5">
        <v>19.51</v>
      </c>
      <c r="F116" s="5">
        <v>16.36</v>
      </c>
      <c r="G116" s="5">
        <v>10.36</v>
      </c>
      <c r="H116" s="5">
        <v>43.83</v>
      </c>
    </row>
    <row r="117" ht="15.75" customHeight="1">
      <c r="A117" s="5" t="s">
        <v>207</v>
      </c>
      <c r="B117" s="5" t="s">
        <v>406</v>
      </c>
      <c r="C117" s="5">
        <v>3.11</v>
      </c>
      <c r="D117" s="5">
        <v>0.54</v>
      </c>
      <c r="E117" s="5">
        <v>17.89</v>
      </c>
      <c r="F117" s="5">
        <v>25.34</v>
      </c>
      <c r="G117" s="5">
        <v>3.49</v>
      </c>
      <c r="H117" s="5">
        <v>64.79</v>
      </c>
    </row>
    <row r="118" ht="15.75" customHeight="1">
      <c r="A118" s="5" t="s">
        <v>407</v>
      </c>
      <c r="B118" s="5" t="s">
        <v>408</v>
      </c>
      <c r="C118" s="5">
        <v>3.03</v>
      </c>
      <c r="D118" s="5">
        <v>0.38</v>
      </c>
      <c r="E118" s="5">
        <v>24.24</v>
      </c>
      <c r="F118" s="5">
        <v>17.14</v>
      </c>
      <c r="G118" s="5">
        <v>13.38</v>
      </c>
      <c r="H118" s="5">
        <v>62.09</v>
      </c>
    </row>
    <row r="119" ht="15.75" customHeight="1">
      <c r="A119" s="5" t="s">
        <v>180</v>
      </c>
      <c r="B119" s="5" t="s">
        <v>409</v>
      </c>
      <c r="C119" s="5">
        <v>3.02</v>
      </c>
      <c r="D119" s="5">
        <v>0.16</v>
      </c>
      <c r="E119" s="5">
        <v>57.04</v>
      </c>
      <c r="F119" s="5">
        <v>46.01</v>
      </c>
      <c r="G119" s="5">
        <v>58.82</v>
      </c>
      <c r="H119" s="5">
        <v>68.58</v>
      </c>
    </row>
    <row r="120" ht="15.75" customHeight="1">
      <c r="A120" s="5" t="s">
        <v>55</v>
      </c>
      <c r="B120" s="5" t="s">
        <v>410</v>
      </c>
      <c r="C120" s="5">
        <v>3.01</v>
      </c>
      <c r="D120" s="5">
        <v>0.79</v>
      </c>
      <c r="E120" s="5">
        <v>11.46</v>
      </c>
      <c r="F120" s="5">
        <v>9.39</v>
      </c>
      <c r="G120" s="5">
        <v>4.23</v>
      </c>
      <c r="H120" s="5">
        <v>37.94</v>
      </c>
    </row>
    <row r="121" ht="15.75" customHeight="1">
      <c r="A121" s="5" t="s">
        <v>240</v>
      </c>
      <c r="B121" s="5" t="s">
        <v>411</v>
      </c>
      <c r="C121" s="5">
        <v>3.0</v>
      </c>
      <c r="D121" s="5">
        <v>0.49</v>
      </c>
      <c r="E121" s="5">
        <v>18.34</v>
      </c>
      <c r="F121" s="5">
        <v>12.41</v>
      </c>
      <c r="G121" s="5">
        <v>11.32</v>
      </c>
      <c r="H121" s="5">
        <v>43.93</v>
      </c>
    </row>
    <row r="122" ht="15.75" customHeight="1">
      <c r="A122" s="5" t="s">
        <v>183</v>
      </c>
      <c r="B122" s="5" t="s">
        <v>412</v>
      </c>
      <c r="C122" s="5">
        <v>2.94</v>
      </c>
      <c r="D122" s="5">
        <v>0.12</v>
      </c>
      <c r="E122" s="5">
        <v>71.82</v>
      </c>
      <c r="F122" s="5">
        <v>68.9</v>
      </c>
      <c r="G122" s="5">
        <v>70.26</v>
      </c>
      <c r="H122" s="5">
        <v>76.51</v>
      </c>
    </row>
    <row r="123" ht="15.75" customHeight="1">
      <c r="A123" s="5" t="s">
        <v>113</v>
      </c>
      <c r="B123" s="5" t="s">
        <v>413</v>
      </c>
      <c r="C123" s="5">
        <v>2.94</v>
      </c>
      <c r="D123" s="5">
        <v>0.34</v>
      </c>
      <c r="E123" s="5">
        <v>25.48</v>
      </c>
      <c r="F123" s="5">
        <v>37.3</v>
      </c>
      <c r="G123" s="5">
        <v>11.66</v>
      </c>
      <c r="H123" s="5">
        <v>38.05</v>
      </c>
    </row>
    <row r="124" ht="15.75" customHeight="1">
      <c r="A124" s="5" t="s">
        <v>129</v>
      </c>
      <c r="B124" s="5" t="s">
        <v>414</v>
      </c>
      <c r="C124" s="5">
        <v>2.93</v>
      </c>
      <c r="D124" s="5">
        <v>0.28</v>
      </c>
      <c r="E124" s="5">
        <v>30.75</v>
      </c>
      <c r="F124" s="5">
        <v>34.1</v>
      </c>
      <c r="G124" s="5">
        <v>13.58</v>
      </c>
      <c r="H124" s="5">
        <v>62.81</v>
      </c>
    </row>
    <row r="125" ht="15.75" customHeight="1">
      <c r="A125" s="5" t="s">
        <v>67</v>
      </c>
      <c r="B125" s="5" t="s">
        <v>415</v>
      </c>
      <c r="C125" s="5">
        <v>2.9</v>
      </c>
      <c r="D125" s="5">
        <v>0.83</v>
      </c>
      <c r="E125" s="5">
        <v>10.12</v>
      </c>
      <c r="F125" s="5">
        <v>9.91</v>
      </c>
      <c r="G125" s="5">
        <v>2.44</v>
      </c>
      <c r="H125" s="5">
        <v>42.85</v>
      </c>
    </row>
    <row r="126" ht="15.75" customHeight="1">
      <c r="A126" s="5" t="s">
        <v>171</v>
      </c>
      <c r="B126" s="5" t="s">
        <v>416</v>
      </c>
      <c r="C126" s="5">
        <v>2.9</v>
      </c>
      <c r="D126" s="5">
        <v>1.2</v>
      </c>
      <c r="E126" s="5">
        <v>7.0</v>
      </c>
      <c r="F126" s="5">
        <v>8.44</v>
      </c>
      <c r="G126" s="5">
        <v>2.58</v>
      </c>
      <c r="H126" s="5">
        <v>15.77</v>
      </c>
    </row>
    <row r="127" ht="15.75" customHeight="1">
      <c r="A127" s="5" t="s">
        <v>417</v>
      </c>
      <c r="B127" s="5" t="s">
        <v>418</v>
      </c>
      <c r="C127" s="5">
        <v>2.83</v>
      </c>
      <c r="D127" s="5">
        <v>0.46</v>
      </c>
      <c r="E127" s="5">
        <v>17.4</v>
      </c>
      <c r="F127" s="5">
        <v>11.6</v>
      </c>
      <c r="G127" s="5">
        <v>10.04</v>
      </c>
      <c r="H127" s="5">
        <v>45.23</v>
      </c>
    </row>
    <row r="128" ht="15.75" customHeight="1">
      <c r="A128" s="5" t="s">
        <v>115</v>
      </c>
      <c r="B128" s="5" t="s">
        <v>419</v>
      </c>
      <c r="C128" s="5">
        <v>2.81</v>
      </c>
      <c r="D128" s="5">
        <v>0.23</v>
      </c>
      <c r="E128" s="5">
        <v>34.4</v>
      </c>
      <c r="F128" s="5">
        <v>48.78</v>
      </c>
      <c r="G128" s="5">
        <v>13.94</v>
      </c>
      <c r="H128" s="5">
        <v>59.89</v>
      </c>
    </row>
    <row r="129" ht="15.75" customHeight="1">
      <c r="A129" s="5" t="s">
        <v>203</v>
      </c>
      <c r="B129" s="5" t="s">
        <v>420</v>
      </c>
      <c r="C129" s="5">
        <v>2.81</v>
      </c>
      <c r="D129" s="5">
        <v>0.69</v>
      </c>
      <c r="E129" s="5">
        <v>11.45</v>
      </c>
      <c r="F129" s="5">
        <v>9.93</v>
      </c>
      <c r="G129" s="5">
        <v>2.88</v>
      </c>
      <c r="H129" s="5">
        <v>52.44</v>
      </c>
    </row>
    <row r="130" ht="15.75" customHeight="1">
      <c r="A130" s="5" t="s">
        <v>36</v>
      </c>
      <c r="B130" s="5" t="s">
        <v>421</v>
      </c>
      <c r="C130" s="5">
        <v>2.77</v>
      </c>
      <c r="D130" s="5">
        <v>1.05</v>
      </c>
      <c r="E130" s="5">
        <v>7.3</v>
      </c>
      <c r="F130" s="5">
        <v>4.67</v>
      </c>
      <c r="G130" s="5">
        <v>2.56</v>
      </c>
      <c r="H130" s="5">
        <v>32.54</v>
      </c>
    </row>
    <row r="131" ht="15.75" customHeight="1">
      <c r="A131" s="5" t="s">
        <v>111</v>
      </c>
      <c r="B131" s="5" t="s">
        <v>422</v>
      </c>
      <c r="C131" s="5">
        <v>2.71</v>
      </c>
      <c r="D131" s="5">
        <v>0.25</v>
      </c>
      <c r="E131" s="5">
        <v>29.33</v>
      </c>
      <c r="F131" s="5">
        <v>35.38</v>
      </c>
      <c r="G131" s="5">
        <v>12.85</v>
      </c>
      <c r="H131" s="5">
        <v>55.48</v>
      </c>
    </row>
    <row r="132" ht="15.75" customHeight="1">
      <c r="A132" s="5" t="s">
        <v>190</v>
      </c>
      <c r="B132" s="5" t="s">
        <v>423</v>
      </c>
      <c r="C132" s="5">
        <v>2.69</v>
      </c>
      <c r="D132" s="5">
        <v>0.79</v>
      </c>
      <c r="E132" s="5">
        <v>9.17</v>
      </c>
      <c r="F132" s="5">
        <v>7.16</v>
      </c>
      <c r="G132" s="5">
        <v>2.47</v>
      </c>
      <c r="H132" s="5">
        <v>43.62</v>
      </c>
    </row>
    <row r="133" ht="15.75" customHeight="1">
      <c r="A133" s="5" t="s">
        <v>184</v>
      </c>
      <c r="B133" s="5" t="s">
        <v>424</v>
      </c>
      <c r="C133" s="5">
        <v>2.68</v>
      </c>
      <c r="D133" s="5">
        <v>0.33</v>
      </c>
      <c r="E133" s="5">
        <v>21.72</v>
      </c>
      <c r="F133" s="5">
        <v>12.51</v>
      </c>
      <c r="G133" s="5">
        <v>14.5</v>
      </c>
      <c r="H133" s="5">
        <v>56.51</v>
      </c>
    </row>
    <row r="134" ht="15.75" customHeight="1">
      <c r="A134" s="5" t="s">
        <v>122</v>
      </c>
      <c r="B134" s="5" t="s">
        <v>425</v>
      </c>
      <c r="C134" s="5">
        <v>2.63</v>
      </c>
      <c r="D134" s="5">
        <v>0.16</v>
      </c>
      <c r="E134" s="5">
        <v>43.15</v>
      </c>
      <c r="F134" s="5">
        <v>32.38</v>
      </c>
      <c r="G134" s="5">
        <v>45.71</v>
      </c>
      <c r="H134" s="5">
        <v>54.27</v>
      </c>
    </row>
    <row r="135" ht="15.75" customHeight="1">
      <c r="A135" s="5" t="s">
        <v>426</v>
      </c>
      <c r="B135" s="5" t="s">
        <v>427</v>
      </c>
      <c r="C135" s="5">
        <v>2.63</v>
      </c>
      <c r="D135" s="5">
        <v>0.43</v>
      </c>
      <c r="E135" s="5">
        <v>16.04</v>
      </c>
      <c r="F135" s="5">
        <v>11.09</v>
      </c>
      <c r="G135" s="5">
        <v>9.5</v>
      </c>
      <c r="H135" s="5">
        <v>39.15</v>
      </c>
    </row>
    <row r="136" ht="15.75" customHeight="1">
      <c r="A136" s="5" t="s">
        <v>102</v>
      </c>
      <c r="B136" s="5" t="s">
        <v>428</v>
      </c>
      <c r="C136" s="5">
        <v>2.62</v>
      </c>
      <c r="D136" s="5">
        <v>0.2</v>
      </c>
      <c r="E136" s="5">
        <v>34.23</v>
      </c>
      <c r="F136" s="5">
        <v>41.9</v>
      </c>
      <c r="G136" s="5">
        <v>14.07</v>
      </c>
      <c r="H136" s="5">
        <v>68.01</v>
      </c>
    </row>
    <row r="137" ht="15.75" customHeight="1">
      <c r="A137" s="5" t="s">
        <v>84</v>
      </c>
      <c r="B137" s="5" t="s">
        <v>429</v>
      </c>
      <c r="C137" s="5">
        <v>2.61</v>
      </c>
      <c r="D137" s="5">
        <v>0.23</v>
      </c>
      <c r="E137" s="5">
        <v>29.54</v>
      </c>
      <c r="F137" s="5">
        <v>15.51</v>
      </c>
      <c r="G137" s="5">
        <v>41.56</v>
      </c>
      <c r="H137" s="5">
        <v>39.99</v>
      </c>
    </row>
    <row r="138" ht="15.75" customHeight="1">
      <c r="A138" s="5" t="s">
        <v>21</v>
      </c>
      <c r="B138" s="5" t="s">
        <v>430</v>
      </c>
      <c r="C138" s="5">
        <v>2.61</v>
      </c>
      <c r="D138" s="5">
        <v>1.06</v>
      </c>
      <c r="E138" s="5">
        <v>6.42</v>
      </c>
      <c r="F138" s="5">
        <v>2.19</v>
      </c>
      <c r="G138" s="5">
        <v>4.88</v>
      </c>
      <c r="H138" s="5">
        <v>24.78</v>
      </c>
    </row>
    <row r="139" ht="15.75" customHeight="1">
      <c r="A139" s="5" t="s">
        <v>226</v>
      </c>
      <c r="B139" s="5" t="s">
        <v>431</v>
      </c>
      <c r="C139" s="5">
        <v>2.57</v>
      </c>
      <c r="D139" s="5">
        <v>1.03</v>
      </c>
      <c r="E139" s="5">
        <v>6.39</v>
      </c>
      <c r="F139" s="5">
        <v>4.25</v>
      </c>
      <c r="G139" s="5">
        <v>2.38</v>
      </c>
      <c r="H139" s="5">
        <v>25.81</v>
      </c>
    </row>
    <row r="140" ht="15.75" customHeight="1">
      <c r="A140" s="5" t="s">
        <v>25</v>
      </c>
      <c r="B140" s="5" t="s">
        <v>432</v>
      </c>
      <c r="C140" s="5">
        <v>2.55</v>
      </c>
      <c r="D140" s="5">
        <v>1.45</v>
      </c>
      <c r="E140" s="5">
        <v>4.5</v>
      </c>
      <c r="F140" s="5">
        <v>5.97</v>
      </c>
      <c r="G140" s="5">
        <v>1.87</v>
      </c>
      <c r="H140" s="5">
        <v>8.15</v>
      </c>
    </row>
    <row r="141" ht="15.75" customHeight="1">
      <c r="A141" s="5" t="s">
        <v>99</v>
      </c>
      <c r="B141" s="5" t="s">
        <v>433</v>
      </c>
      <c r="C141" s="5">
        <v>2.53</v>
      </c>
      <c r="D141" s="5">
        <v>0.22</v>
      </c>
      <c r="E141" s="5">
        <v>29.2</v>
      </c>
      <c r="F141" s="5">
        <v>43.49</v>
      </c>
      <c r="G141" s="5">
        <v>11.28</v>
      </c>
      <c r="H141" s="5">
        <v>50.76</v>
      </c>
    </row>
    <row r="142" ht="15.75" customHeight="1">
      <c r="A142" s="5" t="s">
        <v>177</v>
      </c>
      <c r="B142" s="5" t="s">
        <v>434</v>
      </c>
      <c r="C142" s="5">
        <v>2.49</v>
      </c>
      <c r="D142" s="5">
        <v>0.34</v>
      </c>
      <c r="E142" s="5">
        <v>18.24</v>
      </c>
      <c r="F142" s="5">
        <v>10.72</v>
      </c>
      <c r="G142" s="5">
        <v>11.48</v>
      </c>
      <c r="H142" s="5">
        <v>49.32</v>
      </c>
    </row>
    <row r="143" ht="15.75" customHeight="1">
      <c r="A143" s="5" t="s">
        <v>127</v>
      </c>
      <c r="B143" s="5" t="s">
        <v>435</v>
      </c>
      <c r="C143" s="5">
        <v>2.46</v>
      </c>
      <c r="D143" s="5">
        <v>0.48</v>
      </c>
      <c r="E143" s="5">
        <v>12.65</v>
      </c>
      <c r="F143" s="5">
        <v>5.46</v>
      </c>
      <c r="G143" s="5">
        <v>8.6</v>
      </c>
      <c r="H143" s="5">
        <v>43.12</v>
      </c>
    </row>
    <row r="144" ht="15.75" customHeight="1">
      <c r="A144" s="5" t="s">
        <v>57</v>
      </c>
      <c r="B144" s="5" t="s">
        <v>436</v>
      </c>
      <c r="C144" s="5">
        <v>2.43</v>
      </c>
      <c r="D144" s="5">
        <v>0.3</v>
      </c>
      <c r="E144" s="5">
        <v>19.62</v>
      </c>
      <c r="F144" s="5">
        <v>18.87</v>
      </c>
      <c r="G144" s="5">
        <v>8.95</v>
      </c>
      <c r="H144" s="5">
        <v>44.75</v>
      </c>
    </row>
    <row r="145" ht="15.75" customHeight="1">
      <c r="A145" s="5" t="s">
        <v>236</v>
      </c>
      <c r="B145" s="5" t="s">
        <v>437</v>
      </c>
      <c r="C145" s="5">
        <v>2.36</v>
      </c>
      <c r="D145" s="5">
        <v>0.23</v>
      </c>
      <c r="E145" s="5">
        <v>24.25</v>
      </c>
      <c r="F145" s="5">
        <v>26.28</v>
      </c>
      <c r="G145" s="5">
        <v>11.79</v>
      </c>
      <c r="H145" s="5">
        <v>46.0</v>
      </c>
    </row>
    <row r="146" ht="15.75" customHeight="1">
      <c r="A146" s="5" t="s">
        <v>52</v>
      </c>
      <c r="B146" s="5" t="s">
        <v>438</v>
      </c>
      <c r="C146" s="5">
        <v>2.32</v>
      </c>
      <c r="D146" s="5">
        <v>0.64</v>
      </c>
      <c r="E146" s="5">
        <v>8.39</v>
      </c>
      <c r="F146" s="5">
        <v>7.26</v>
      </c>
      <c r="G146" s="5">
        <v>2.13</v>
      </c>
      <c r="H146" s="5">
        <v>38.25</v>
      </c>
    </row>
    <row r="147" ht="15.75" customHeight="1">
      <c r="A147" s="5" t="s">
        <v>212</v>
      </c>
      <c r="B147" s="5" t="s">
        <v>439</v>
      </c>
      <c r="C147" s="5">
        <v>2.29</v>
      </c>
      <c r="D147" s="5">
        <v>0.08</v>
      </c>
      <c r="E147" s="5">
        <v>65.61</v>
      </c>
      <c r="F147" s="5">
        <v>60.79</v>
      </c>
      <c r="G147" s="5">
        <v>70.97</v>
      </c>
      <c r="H147" s="5">
        <v>65.46</v>
      </c>
    </row>
    <row r="148" ht="15.75" customHeight="1">
      <c r="A148" s="5" t="s">
        <v>95</v>
      </c>
      <c r="B148" s="5" t="s">
        <v>440</v>
      </c>
      <c r="C148" s="5">
        <v>2.23</v>
      </c>
      <c r="D148" s="5">
        <v>0.23</v>
      </c>
      <c r="E148" s="5">
        <v>21.58</v>
      </c>
      <c r="F148" s="5">
        <v>15.2</v>
      </c>
      <c r="G148" s="5">
        <v>12.85</v>
      </c>
      <c r="H148" s="5">
        <v>51.44</v>
      </c>
    </row>
    <row r="149" ht="15.75" customHeight="1">
      <c r="A149" s="5" t="s">
        <v>219</v>
      </c>
      <c r="B149" s="5" t="s">
        <v>441</v>
      </c>
      <c r="C149" s="5">
        <v>2.16</v>
      </c>
      <c r="D149" s="5">
        <v>0.07</v>
      </c>
      <c r="E149" s="5">
        <v>66.48</v>
      </c>
      <c r="F149" s="5">
        <v>66.36</v>
      </c>
      <c r="G149" s="5">
        <v>67.89</v>
      </c>
      <c r="H149" s="5">
        <v>65.22</v>
      </c>
    </row>
    <row r="150" ht="15.75" customHeight="1">
      <c r="A150" s="5" t="s">
        <v>442</v>
      </c>
      <c r="B150" s="5" t="s">
        <v>443</v>
      </c>
      <c r="C150" s="5">
        <v>2.14</v>
      </c>
      <c r="D150" s="5">
        <v>0.53</v>
      </c>
      <c r="E150" s="5">
        <v>8.61</v>
      </c>
      <c r="F150" s="5">
        <v>8.47</v>
      </c>
      <c r="G150" s="5">
        <v>2.48</v>
      </c>
      <c r="H150" s="5">
        <v>30.38</v>
      </c>
    </row>
    <row r="151" ht="15.75" customHeight="1">
      <c r="A151" s="5" t="s">
        <v>46</v>
      </c>
      <c r="B151" s="5" t="s">
        <v>444</v>
      </c>
      <c r="C151" s="5">
        <v>2.1</v>
      </c>
      <c r="D151" s="5">
        <v>0.31</v>
      </c>
      <c r="E151" s="5">
        <v>14.24</v>
      </c>
      <c r="F151" s="5">
        <v>10.0</v>
      </c>
      <c r="G151" s="5">
        <v>7.92</v>
      </c>
      <c r="H151" s="5">
        <v>36.48</v>
      </c>
    </row>
    <row r="152" ht="15.75" customHeight="1">
      <c r="A152" s="5" t="s">
        <v>445</v>
      </c>
      <c r="B152" s="5" t="s">
        <v>446</v>
      </c>
      <c r="C152" s="5">
        <v>2.02</v>
      </c>
      <c r="D152" s="5">
        <v>0.13</v>
      </c>
      <c r="E152" s="5">
        <v>31.54</v>
      </c>
      <c r="F152" s="5">
        <v>41.54</v>
      </c>
      <c r="G152" s="5">
        <v>12.63</v>
      </c>
      <c r="H152" s="5">
        <v>59.8</v>
      </c>
    </row>
    <row r="153" ht="15.75" customHeight="1">
      <c r="A153" s="5" t="s">
        <v>221</v>
      </c>
      <c r="B153" s="5" t="s">
        <v>447</v>
      </c>
      <c r="C153" s="5">
        <v>2.02</v>
      </c>
      <c r="D153" s="5">
        <v>0.36</v>
      </c>
      <c r="E153" s="5">
        <v>11.35</v>
      </c>
      <c r="F153" s="5">
        <v>6.58</v>
      </c>
      <c r="G153" s="5">
        <v>9.49</v>
      </c>
      <c r="H153" s="5">
        <v>23.44</v>
      </c>
    </row>
    <row r="154" ht="15.75" customHeight="1">
      <c r="A154" s="5" t="s">
        <v>179</v>
      </c>
      <c r="B154" s="5" t="s">
        <v>448</v>
      </c>
      <c r="C154" s="5">
        <v>2.01</v>
      </c>
      <c r="D154" s="5">
        <v>0.07</v>
      </c>
      <c r="E154" s="5">
        <v>57.5</v>
      </c>
      <c r="F154" s="5">
        <v>59.28</v>
      </c>
      <c r="G154" s="5">
        <v>63.22</v>
      </c>
      <c r="H154" s="5">
        <v>50.74</v>
      </c>
    </row>
    <row r="155" ht="15.75" customHeight="1">
      <c r="A155" s="5" t="s">
        <v>16</v>
      </c>
      <c r="B155" s="5" t="s">
        <v>449</v>
      </c>
      <c r="C155" s="5">
        <v>2.01</v>
      </c>
      <c r="D155" s="5">
        <v>0.55</v>
      </c>
      <c r="E155" s="5">
        <v>7.38</v>
      </c>
      <c r="F155" s="5">
        <v>6.21</v>
      </c>
      <c r="G155" s="5">
        <v>3.34</v>
      </c>
      <c r="H155" s="5">
        <v>19.35</v>
      </c>
    </row>
    <row r="156" ht="15.75" customHeight="1">
      <c r="A156" s="5" t="s">
        <v>134</v>
      </c>
      <c r="B156" s="5" t="s">
        <v>450</v>
      </c>
      <c r="C156" s="5">
        <v>1.95</v>
      </c>
      <c r="D156" s="5">
        <v>0.21</v>
      </c>
      <c r="E156" s="5">
        <v>18.2</v>
      </c>
      <c r="F156" s="5">
        <v>11.67</v>
      </c>
      <c r="G156" s="5">
        <v>11.19</v>
      </c>
      <c r="H156" s="5">
        <v>46.17</v>
      </c>
    </row>
    <row r="157" ht="15.75" customHeight="1">
      <c r="A157" s="5" t="s">
        <v>80</v>
      </c>
      <c r="B157" s="5" t="s">
        <v>451</v>
      </c>
      <c r="C157" s="5">
        <v>1.94</v>
      </c>
      <c r="D157" s="5">
        <v>0.25</v>
      </c>
      <c r="E157" s="5">
        <v>14.99</v>
      </c>
      <c r="F157" s="5">
        <v>19.15</v>
      </c>
      <c r="G157" s="5">
        <v>10.14</v>
      </c>
      <c r="H157" s="5">
        <v>17.33</v>
      </c>
    </row>
    <row r="158" ht="15.75" customHeight="1">
      <c r="A158" s="5" t="s">
        <v>193</v>
      </c>
      <c r="B158" s="5" t="s">
        <v>452</v>
      </c>
      <c r="C158" s="5">
        <v>1.93</v>
      </c>
      <c r="D158" s="5">
        <v>0.14</v>
      </c>
      <c r="E158" s="5">
        <v>26.7</v>
      </c>
      <c r="F158" s="5">
        <v>29.72</v>
      </c>
      <c r="G158" s="5">
        <v>13.23</v>
      </c>
      <c r="H158" s="5">
        <v>48.42</v>
      </c>
    </row>
    <row r="159" ht="15.75" customHeight="1">
      <c r="A159" s="5" t="s">
        <v>198</v>
      </c>
      <c r="B159" s="5" t="s">
        <v>453</v>
      </c>
      <c r="C159" s="5">
        <v>1.82</v>
      </c>
      <c r="D159" s="5">
        <v>0.31</v>
      </c>
      <c r="E159" s="5">
        <v>10.74</v>
      </c>
      <c r="F159" s="5">
        <v>11.37</v>
      </c>
      <c r="G159" s="5">
        <v>2.58</v>
      </c>
      <c r="H159" s="5">
        <v>42.18</v>
      </c>
    </row>
    <row r="160" ht="15.75" customHeight="1">
      <c r="A160" s="5" t="s">
        <v>174</v>
      </c>
      <c r="B160" s="5" t="s">
        <v>454</v>
      </c>
      <c r="C160" s="5">
        <v>1.77</v>
      </c>
      <c r="D160" s="5">
        <v>0.09</v>
      </c>
      <c r="E160" s="5">
        <v>34.75</v>
      </c>
      <c r="F160" s="5">
        <v>53.24</v>
      </c>
      <c r="G160" s="5">
        <v>13.22</v>
      </c>
      <c r="H160" s="5">
        <v>59.64</v>
      </c>
    </row>
    <row r="161" ht="15.75" customHeight="1">
      <c r="A161" s="5" t="s">
        <v>47</v>
      </c>
      <c r="B161" s="5" t="s">
        <v>455</v>
      </c>
      <c r="C161" s="5">
        <v>1.77</v>
      </c>
      <c r="D161" s="5">
        <v>0.43</v>
      </c>
      <c r="E161" s="5">
        <v>7.3</v>
      </c>
      <c r="F161" s="5">
        <v>5.57</v>
      </c>
      <c r="G161" s="5">
        <v>1.91</v>
      </c>
      <c r="H161" s="5">
        <v>36.56</v>
      </c>
    </row>
    <row r="162" ht="15.75" customHeight="1">
      <c r="A162" s="5" t="s">
        <v>69</v>
      </c>
      <c r="B162" s="5" t="s">
        <v>456</v>
      </c>
      <c r="C162" s="5">
        <v>1.68</v>
      </c>
      <c r="D162" s="5">
        <v>0.17</v>
      </c>
      <c r="E162" s="5">
        <v>16.62</v>
      </c>
      <c r="F162" s="5">
        <v>10.97</v>
      </c>
      <c r="G162" s="5">
        <v>9.65</v>
      </c>
      <c r="H162" s="5">
        <v>43.35</v>
      </c>
    </row>
    <row r="163" ht="15.75" customHeight="1">
      <c r="A163" s="5" t="s">
        <v>100</v>
      </c>
      <c r="B163" s="5" t="s">
        <v>457</v>
      </c>
      <c r="C163" s="5">
        <v>1.65</v>
      </c>
      <c r="D163" s="5">
        <v>0.14</v>
      </c>
      <c r="E163" s="5">
        <v>19.52</v>
      </c>
      <c r="F163" s="5">
        <v>12.13</v>
      </c>
      <c r="G163" s="5">
        <v>12.41</v>
      </c>
      <c r="H163" s="5">
        <v>49.43</v>
      </c>
    </row>
    <row r="164" ht="15.75" customHeight="1">
      <c r="A164" s="5" t="s">
        <v>238</v>
      </c>
      <c r="B164" s="5" t="s">
        <v>458</v>
      </c>
      <c r="C164" s="5">
        <v>1.58</v>
      </c>
      <c r="D164" s="5">
        <v>0.07</v>
      </c>
      <c r="E164" s="5">
        <v>35.75</v>
      </c>
      <c r="F164" s="5">
        <v>56.51</v>
      </c>
      <c r="G164" s="5">
        <v>13.54</v>
      </c>
      <c r="H164" s="5">
        <v>59.73</v>
      </c>
    </row>
    <row r="165" ht="15.75" customHeight="1">
      <c r="A165" s="5" t="s">
        <v>31</v>
      </c>
      <c r="B165" s="5" t="s">
        <v>459</v>
      </c>
      <c r="C165" s="5">
        <v>1.54</v>
      </c>
      <c r="D165" s="5">
        <v>0.49</v>
      </c>
      <c r="E165" s="5">
        <v>4.84</v>
      </c>
      <c r="F165" s="5">
        <v>5.41</v>
      </c>
      <c r="G165" s="5">
        <v>0.83</v>
      </c>
      <c r="H165" s="5">
        <v>25.26</v>
      </c>
    </row>
    <row r="166" ht="15.75" customHeight="1">
      <c r="A166" s="5" t="s">
        <v>242</v>
      </c>
      <c r="B166" s="5" t="s">
        <v>460</v>
      </c>
      <c r="C166" s="5">
        <v>1.53</v>
      </c>
      <c r="D166" s="5">
        <v>0.15</v>
      </c>
      <c r="E166" s="5">
        <v>15.54</v>
      </c>
      <c r="F166" s="5">
        <v>9.26</v>
      </c>
      <c r="G166" s="5">
        <v>10.6</v>
      </c>
      <c r="H166" s="5">
        <v>38.24</v>
      </c>
    </row>
    <row r="167" ht="15.75" customHeight="1">
      <c r="A167" s="5" t="s">
        <v>94</v>
      </c>
      <c r="B167" s="5" t="s">
        <v>461</v>
      </c>
      <c r="C167" s="5">
        <v>1.52</v>
      </c>
      <c r="D167" s="5">
        <v>0.18</v>
      </c>
      <c r="E167" s="5">
        <v>12.89</v>
      </c>
      <c r="F167" s="5">
        <v>15.43</v>
      </c>
      <c r="G167" s="5">
        <v>10.84</v>
      </c>
      <c r="H167" s="5">
        <v>12.8</v>
      </c>
    </row>
    <row r="168" ht="15.75" customHeight="1">
      <c r="A168" s="5" t="s">
        <v>136</v>
      </c>
      <c r="B168" s="5" t="s">
        <v>462</v>
      </c>
      <c r="C168" s="5">
        <v>1.34</v>
      </c>
      <c r="D168" s="5">
        <v>0.09</v>
      </c>
      <c r="E168" s="5">
        <v>19.93</v>
      </c>
      <c r="F168" s="5">
        <v>15.79</v>
      </c>
      <c r="G168" s="5">
        <v>10.11</v>
      </c>
      <c r="H168" s="5">
        <v>49.62</v>
      </c>
    </row>
    <row r="169" ht="15.75" customHeight="1">
      <c r="A169" s="5" t="s">
        <v>206</v>
      </c>
      <c r="B169" s="5" t="s">
        <v>463</v>
      </c>
      <c r="C169" s="5">
        <v>1.33</v>
      </c>
      <c r="D169" s="5">
        <v>0.07</v>
      </c>
      <c r="E169" s="5">
        <v>25.38</v>
      </c>
      <c r="F169" s="5">
        <v>18.32</v>
      </c>
      <c r="G169" s="5">
        <v>14.07</v>
      </c>
      <c r="H169" s="5">
        <v>63.42</v>
      </c>
    </row>
    <row r="170" ht="15.75" customHeight="1">
      <c r="A170" s="5" t="s">
        <v>77</v>
      </c>
      <c r="B170" s="5" t="s">
        <v>464</v>
      </c>
      <c r="C170" s="5">
        <v>1.29</v>
      </c>
      <c r="D170" s="5">
        <v>0.1</v>
      </c>
      <c r="E170" s="5">
        <v>16.76</v>
      </c>
      <c r="F170" s="5">
        <v>9.78</v>
      </c>
      <c r="G170" s="5">
        <v>10.06</v>
      </c>
      <c r="H170" s="5">
        <v>47.84</v>
      </c>
    </row>
    <row r="171" ht="15.75" customHeight="1">
      <c r="A171" s="5" t="s">
        <v>79</v>
      </c>
      <c r="B171" s="5" t="s">
        <v>465</v>
      </c>
      <c r="C171" s="5">
        <v>1.29</v>
      </c>
      <c r="D171" s="5">
        <v>0.1</v>
      </c>
      <c r="E171" s="5">
        <v>16.52</v>
      </c>
      <c r="F171" s="5">
        <v>9.48</v>
      </c>
      <c r="G171" s="5">
        <v>9.97</v>
      </c>
      <c r="H171" s="5">
        <v>47.73</v>
      </c>
    </row>
    <row r="172" ht="15.75" customHeight="1">
      <c r="A172" s="5" t="s">
        <v>178</v>
      </c>
      <c r="B172" s="5" t="s">
        <v>466</v>
      </c>
      <c r="C172" s="5">
        <v>1.29</v>
      </c>
      <c r="D172" s="5">
        <v>0.33</v>
      </c>
      <c r="E172" s="5">
        <v>5.04</v>
      </c>
      <c r="F172" s="5">
        <v>7.71</v>
      </c>
      <c r="G172" s="5">
        <v>2.23</v>
      </c>
      <c r="H172" s="5">
        <v>7.46</v>
      </c>
    </row>
    <row r="173" ht="15.75" customHeight="1">
      <c r="A173" s="5" t="s">
        <v>241</v>
      </c>
      <c r="B173" s="5" t="s">
        <v>467</v>
      </c>
      <c r="C173" s="5">
        <v>1.25</v>
      </c>
      <c r="D173" s="5">
        <v>0.17</v>
      </c>
      <c r="E173" s="5">
        <v>9.14</v>
      </c>
      <c r="F173" s="5">
        <v>9.11</v>
      </c>
      <c r="G173" s="5">
        <v>3.08</v>
      </c>
      <c r="H173" s="5">
        <v>27.21</v>
      </c>
    </row>
    <row r="174" ht="15.75" customHeight="1">
      <c r="A174" s="5" t="s">
        <v>176</v>
      </c>
      <c r="B174" s="5" t="s">
        <v>468</v>
      </c>
      <c r="C174" s="5">
        <v>1.18</v>
      </c>
      <c r="D174" s="5">
        <v>0.1</v>
      </c>
      <c r="E174" s="5">
        <v>14.03</v>
      </c>
      <c r="F174" s="5">
        <v>8.02</v>
      </c>
      <c r="G174" s="5">
        <v>9.02</v>
      </c>
      <c r="H174" s="5">
        <v>38.15</v>
      </c>
    </row>
    <row r="175" ht="15.75" customHeight="1">
      <c r="A175" s="5" t="s">
        <v>181</v>
      </c>
      <c r="B175" s="5" t="s">
        <v>469</v>
      </c>
      <c r="C175" s="5">
        <v>1.17</v>
      </c>
      <c r="D175" s="5">
        <v>0.07</v>
      </c>
      <c r="E175" s="5">
        <v>19.71</v>
      </c>
      <c r="F175" s="5">
        <v>14.92</v>
      </c>
      <c r="G175" s="5">
        <v>10.73</v>
      </c>
      <c r="H175" s="5">
        <v>47.84</v>
      </c>
    </row>
    <row r="176" ht="15.75" customHeight="1">
      <c r="A176" s="5" t="s">
        <v>34</v>
      </c>
      <c r="B176" s="5" t="s">
        <v>470</v>
      </c>
      <c r="C176" s="5">
        <v>1.16</v>
      </c>
      <c r="D176" s="5">
        <v>0.17</v>
      </c>
      <c r="E176" s="5">
        <v>7.9</v>
      </c>
      <c r="F176" s="5">
        <v>4.59</v>
      </c>
      <c r="G176" s="5">
        <v>3.36</v>
      </c>
      <c r="H176" s="5">
        <v>31.92</v>
      </c>
    </row>
    <row r="177" ht="15.75" customHeight="1">
      <c r="A177" s="5" t="s">
        <v>139</v>
      </c>
      <c r="B177" s="5" t="s">
        <v>471</v>
      </c>
      <c r="C177" s="5">
        <v>1.11</v>
      </c>
      <c r="D177" s="5">
        <v>0.11</v>
      </c>
      <c r="E177" s="5">
        <v>11.12</v>
      </c>
      <c r="F177" s="5">
        <v>9.52</v>
      </c>
      <c r="G177" s="5">
        <v>9.89</v>
      </c>
      <c r="H177" s="5">
        <v>14.62</v>
      </c>
    </row>
    <row r="178" ht="15.75" customHeight="1">
      <c r="A178" s="5" t="s">
        <v>45</v>
      </c>
      <c r="B178" s="5" t="s">
        <v>472</v>
      </c>
      <c r="C178" s="5">
        <v>1.09</v>
      </c>
      <c r="D178" s="5">
        <v>0.1</v>
      </c>
      <c r="E178" s="5">
        <v>11.94</v>
      </c>
      <c r="F178" s="5">
        <v>6.13</v>
      </c>
      <c r="G178" s="5">
        <v>7.03</v>
      </c>
      <c r="H178" s="5">
        <v>39.51</v>
      </c>
    </row>
    <row r="179" ht="15.75" customHeight="1">
      <c r="A179" s="5" t="s">
        <v>12</v>
      </c>
      <c r="B179" s="5" t="s">
        <v>473</v>
      </c>
      <c r="C179" s="5">
        <v>1.05</v>
      </c>
      <c r="D179" s="5">
        <v>0.16</v>
      </c>
      <c r="E179" s="5">
        <v>6.85</v>
      </c>
      <c r="F179" s="5">
        <v>4.73</v>
      </c>
      <c r="G179" s="5">
        <v>2.89</v>
      </c>
      <c r="H179" s="5">
        <v>23.54</v>
      </c>
    </row>
    <row r="180" ht="15.75" customHeight="1">
      <c r="A180" s="5" t="s">
        <v>54</v>
      </c>
      <c r="B180" s="5" t="s">
        <v>474</v>
      </c>
      <c r="C180" s="5">
        <v>1.03</v>
      </c>
      <c r="D180" s="5">
        <v>0.1</v>
      </c>
      <c r="E180" s="5">
        <v>10.62</v>
      </c>
      <c r="F180" s="5">
        <v>7.18</v>
      </c>
      <c r="G180" s="5">
        <v>4.2</v>
      </c>
      <c r="H180" s="5">
        <v>39.77</v>
      </c>
    </row>
    <row r="181" ht="15.75" customHeight="1">
      <c r="A181" s="5" t="s">
        <v>50</v>
      </c>
      <c r="B181" s="5" t="s">
        <v>475</v>
      </c>
      <c r="C181" s="5">
        <v>1.03</v>
      </c>
      <c r="D181" s="5">
        <v>0.15</v>
      </c>
      <c r="E181" s="5">
        <v>7.14</v>
      </c>
      <c r="F181" s="5">
        <v>5.62</v>
      </c>
      <c r="G181" s="5">
        <v>2.09</v>
      </c>
      <c r="H181" s="5">
        <v>30.93</v>
      </c>
    </row>
    <row r="182" ht="15.75" customHeight="1">
      <c r="A182" s="5" t="s">
        <v>217</v>
      </c>
      <c r="B182" s="5" t="s">
        <v>476</v>
      </c>
      <c r="C182" s="5">
        <v>1.02</v>
      </c>
      <c r="D182" s="5">
        <v>0.11</v>
      </c>
      <c r="E182" s="5">
        <v>9.39</v>
      </c>
      <c r="F182" s="5">
        <v>8.48</v>
      </c>
      <c r="G182" s="5">
        <v>2.79</v>
      </c>
      <c r="H182" s="5">
        <v>34.97</v>
      </c>
    </row>
    <row r="183" ht="15.75" customHeight="1">
      <c r="A183" s="5" t="s">
        <v>17</v>
      </c>
      <c r="B183" s="5" t="s">
        <v>477</v>
      </c>
      <c r="C183" s="5">
        <v>0.98</v>
      </c>
      <c r="D183" s="5">
        <v>0.18</v>
      </c>
      <c r="E183" s="5">
        <v>5.36</v>
      </c>
      <c r="F183" s="5">
        <v>3.51</v>
      </c>
      <c r="G183" s="5">
        <v>1.61</v>
      </c>
      <c r="H183" s="5">
        <v>27.31</v>
      </c>
    </row>
    <row r="184" ht="15.75" customHeight="1">
      <c r="A184" s="5" t="s">
        <v>58</v>
      </c>
      <c r="B184" s="5" t="s">
        <v>478</v>
      </c>
      <c r="C184" s="5">
        <v>0.95</v>
      </c>
      <c r="D184" s="5">
        <v>0.11</v>
      </c>
      <c r="E184" s="5">
        <v>8.22</v>
      </c>
      <c r="F184" s="5">
        <v>5.46</v>
      </c>
      <c r="G184" s="5">
        <v>9.62</v>
      </c>
      <c r="H184" s="5">
        <v>10.56</v>
      </c>
    </row>
    <row r="185" ht="15.75" customHeight="1">
      <c r="A185" s="5" t="s">
        <v>32</v>
      </c>
      <c r="B185" s="5" t="s">
        <v>479</v>
      </c>
      <c r="C185" s="5">
        <v>0.94</v>
      </c>
      <c r="D185" s="5">
        <v>0.14</v>
      </c>
      <c r="E185" s="5">
        <v>6.31</v>
      </c>
      <c r="F185" s="5">
        <v>5.64</v>
      </c>
      <c r="G185" s="5">
        <v>2.63</v>
      </c>
      <c r="H185" s="5">
        <v>16.93</v>
      </c>
    </row>
    <row r="186" ht="15.75" customHeight="1">
      <c r="A186" s="5" t="s">
        <v>26</v>
      </c>
      <c r="B186" s="5" t="s">
        <v>480</v>
      </c>
      <c r="C186" s="5">
        <v>0.94</v>
      </c>
      <c r="D186" s="5">
        <v>0.15</v>
      </c>
      <c r="E186" s="5">
        <v>5.87</v>
      </c>
      <c r="F186" s="5">
        <v>4.09</v>
      </c>
      <c r="G186" s="5">
        <v>4.26</v>
      </c>
      <c r="H186" s="5">
        <v>11.62</v>
      </c>
    </row>
    <row r="187" ht="15.75" customHeight="1">
      <c r="A187" s="5" t="s">
        <v>15</v>
      </c>
      <c r="B187" s="5" t="s">
        <v>481</v>
      </c>
      <c r="C187" s="5">
        <v>0.8</v>
      </c>
      <c r="D187" s="5">
        <v>0.15</v>
      </c>
      <c r="E187" s="5">
        <v>4.25</v>
      </c>
      <c r="F187" s="5">
        <v>3.83</v>
      </c>
      <c r="G187" s="5">
        <v>0.83</v>
      </c>
      <c r="H187" s="5">
        <v>24.11</v>
      </c>
    </row>
    <row r="188" ht="15.75" customHeight="1">
      <c r="A188" s="5" t="s">
        <v>82</v>
      </c>
      <c r="B188" s="5" t="s">
        <v>482</v>
      </c>
      <c r="C188" s="5">
        <v>0.76</v>
      </c>
      <c r="D188" s="5">
        <v>0.05</v>
      </c>
      <c r="E188" s="5">
        <v>11.48</v>
      </c>
      <c r="F188" s="5">
        <v>7.74</v>
      </c>
      <c r="G188" s="5">
        <v>5.67</v>
      </c>
      <c r="H188" s="5">
        <v>34.51</v>
      </c>
    </row>
    <row r="189" ht="15.75" customHeight="1">
      <c r="A189" s="5" t="s">
        <v>208</v>
      </c>
      <c r="B189" s="5" t="s">
        <v>483</v>
      </c>
      <c r="C189" s="5">
        <v>0.71</v>
      </c>
      <c r="D189" s="5">
        <v>0.09</v>
      </c>
      <c r="E189" s="5">
        <v>5.64</v>
      </c>
      <c r="F189" s="5">
        <v>6.5</v>
      </c>
      <c r="G189" s="5">
        <v>0.99</v>
      </c>
      <c r="H189" s="5">
        <v>27.92</v>
      </c>
    </row>
    <row r="190" ht="15.75" customHeight="1">
      <c r="A190" s="5" t="s">
        <v>484</v>
      </c>
      <c r="B190" s="5" t="s">
        <v>485</v>
      </c>
      <c r="C190" s="5">
        <v>0.67</v>
      </c>
      <c r="D190" s="5">
        <v>0.02</v>
      </c>
      <c r="E190" s="5">
        <v>22.26</v>
      </c>
      <c r="F190" s="5">
        <v>16.56</v>
      </c>
      <c r="G190" s="5">
        <v>12.79</v>
      </c>
      <c r="H190" s="5">
        <v>52.07</v>
      </c>
    </row>
    <row r="191" ht="15.75" customHeight="1">
      <c r="A191" s="5" t="s">
        <v>13</v>
      </c>
      <c r="B191" s="5" t="s">
        <v>486</v>
      </c>
      <c r="C191" s="5">
        <v>0.61</v>
      </c>
      <c r="D191" s="5">
        <v>0.06</v>
      </c>
      <c r="E191" s="5">
        <v>6.17</v>
      </c>
      <c r="F191" s="5">
        <v>4.16</v>
      </c>
      <c r="G191" s="5">
        <v>5.85</v>
      </c>
      <c r="H191" s="5">
        <v>9.65</v>
      </c>
    </row>
    <row r="192" ht="15.75" customHeight="1">
      <c r="A192" s="5" t="s">
        <v>224</v>
      </c>
      <c r="B192" s="5" t="s">
        <v>487</v>
      </c>
      <c r="C192" s="5">
        <v>0.35</v>
      </c>
      <c r="D192" s="5">
        <v>0.03</v>
      </c>
      <c r="E192" s="5">
        <v>4.11</v>
      </c>
      <c r="F192" s="5">
        <v>2.74</v>
      </c>
      <c r="G192" s="5">
        <v>1.31</v>
      </c>
      <c r="H192" s="5">
        <v>19.37</v>
      </c>
    </row>
    <row r="193" ht="15.75" customHeight="1">
      <c r="A193" s="5" t="s">
        <v>119</v>
      </c>
      <c r="B193" s="5" t="s">
        <v>488</v>
      </c>
      <c r="C193" s="5">
        <v>0.28</v>
      </c>
      <c r="D193" s="5">
        <v>0.02</v>
      </c>
      <c r="E193" s="5">
        <v>3.96</v>
      </c>
      <c r="F193" s="5">
        <v>2.63</v>
      </c>
      <c r="G193" s="5">
        <v>1.86</v>
      </c>
      <c r="H193" s="5">
        <v>12.66</v>
      </c>
    </row>
    <row r="194" ht="15.75" customHeight="1">
      <c r="A194" s="5" t="s">
        <v>121</v>
      </c>
      <c r="B194" s="5" t="s">
        <v>489</v>
      </c>
      <c r="C194" s="5">
        <v>0.18</v>
      </c>
      <c r="D194" s="5">
        <v>0.02</v>
      </c>
      <c r="E194" s="5">
        <v>1.57</v>
      </c>
      <c r="F194" s="5">
        <v>1.68</v>
      </c>
      <c r="G194" s="5">
        <v>0.44</v>
      </c>
      <c r="H194" s="5">
        <v>5.25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5" t="s">
        <v>490</v>
      </c>
      <c r="C1" s="5" t="s">
        <v>491</v>
      </c>
      <c r="D1" s="5" t="s">
        <v>492</v>
      </c>
    </row>
    <row r="2" ht="15.75" customHeight="1">
      <c r="A2" s="4" t="s">
        <v>12</v>
      </c>
      <c r="B2" s="5">
        <v>0.0</v>
      </c>
    </row>
    <row r="3" ht="15.75" customHeight="1">
      <c r="A3" s="4" t="s">
        <v>13</v>
      </c>
    </row>
    <row r="4" ht="15.75" customHeight="1">
      <c r="A4" s="4" t="s">
        <v>14</v>
      </c>
    </row>
    <row r="5" ht="15.75" customHeight="1">
      <c r="A5" s="4" t="s">
        <v>15</v>
      </c>
    </row>
    <row r="6" ht="15.75" customHeight="1">
      <c r="A6" s="4" t="s">
        <v>16</v>
      </c>
    </row>
    <row r="7" ht="15.75" customHeight="1">
      <c r="A7" s="4" t="s">
        <v>17</v>
      </c>
    </row>
    <row r="8" ht="15.75" customHeight="1">
      <c r="A8" s="4" t="s">
        <v>18</v>
      </c>
    </row>
    <row r="9" ht="15.75" customHeight="1">
      <c r="A9" s="4" t="s">
        <v>19</v>
      </c>
    </row>
    <row r="10" ht="15.75" customHeight="1">
      <c r="A10" s="4" t="s">
        <v>20</v>
      </c>
    </row>
    <row r="11" ht="15.75" customHeight="1">
      <c r="A11" s="4" t="s">
        <v>21</v>
      </c>
    </row>
    <row r="12" ht="15.75" customHeight="1">
      <c r="A12" s="4" t="s">
        <v>22</v>
      </c>
    </row>
    <row r="13" ht="15.75" customHeight="1">
      <c r="A13" s="4" t="s">
        <v>23</v>
      </c>
    </row>
    <row r="14" ht="15.75" customHeight="1">
      <c r="A14" s="4" t="s">
        <v>24</v>
      </c>
    </row>
    <row r="15" ht="15.75" customHeight="1">
      <c r="A15" s="4" t="s">
        <v>25</v>
      </c>
    </row>
    <row r="16" ht="15.75" customHeight="1">
      <c r="A16" s="4" t="s">
        <v>26</v>
      </c>
    </row>
    <row r="17" ht="15.75" customHeight="1">
      <c r="A17" s="4" t="s">
        <v>27</v>
      </c>
    </row>
    <row r="18" ht="15.75" customHeight="1">
      <c r="A18" s="4" t="s">
        <v>28</v>
      </c>
    </row>
    <row r="19" ht="15.75" customHeight="1">
      <c r="A19" s="4" t="s">
        <v>29</v>
      </c>
    </row>
    <row r="20" ht="15.75" customHeight="1">
      <c r="A20" s="4" t="s">
        <v>30</v>
      </c>
    </row>
    <row r="21" ht="15.75" customHeight="1">
      <c r="A21" s="4" t="s">
        <v>31</v>
      </c>
    </row>
    <row r="22" ht="15.75" customHeight="1">
      <c r="A22" s="4" t="s">
        <v>32</v>
      </c>
    </row>
    <row r="23" ht="15.75" customHeight="1">
      <c r="A23" s="4" t="s">
        <v>33</v>
      </c>
    </row>
    <row r="24" ht="15.75" customHeight="1">
      <c r="A24" s="4" t="s">
        <v>34</v>
      </c>
    </row>
    <row r="25" ht="15.75" customHeight="1">
      <c r="A25" s="4" t="s">
        <v>35</v>
      </c>
    </row>
    <row r="26" ht="15.75" customHeight="1">
      <c r="A26" s="4" t="s">
        <v>36</v>
      </c>
    </row>
    <row r="27" ht="15.75" customHeight="1">
      <c r="A27" s="4" t="s">
        <v>37</v>
      </c>
    </row>
    <row r="28" ht="15.75" customHeight="1">
      <c r="A28" s="4" t="s">
        <v>38</v>
      </c>
    </row>
    <row r="29" ht="15.75" customHeight="1">
      <c r="A29" s="4" t="s">
        <v>39</v>
      </c>
    </row>
    <row r="30" ht="15.75" customHeight="1">
      <c r="A30" s="4" t="s">
        <v>40</v>
      </c>
    </row>
    <row r="31" ht="15.75" customHeight="1">
      <c r="A31" s="4" t="s">
        <v>41</v>
      </c>
    </row>
    <row r="32" ht="15.75" customHeight="1">
      <c r="A32" s="4" t="s">
        <v>42</v>
      </c>
    </row>
    <row r="33" ht="15.75" customHeight="1">
      <c r="A33" s="4" t="s">
        <v>43</v>
      </c>
    </row>
    <row r="34" ht="15.75" customHeight="1">
      <c r="A34" s="4" t="s">
        <v>44</v>
      </c>
    </row>
    <row r="35" ht="15.75" customHeight="1">
      <c r="A35" s="4" t="s">
        <v>45</v>
      </c>
    </row>
    <row r="36" ht="15.75" customHeight="1">
      <c r="A36" s="4" t="s">
        <v>46</v>
      </c>
    </row>
    <row r="37" ht="15.75" customHeight="1">
      <c r="A37" s="4" t="s">
        <v>47</v>
      </c>
    </row>
    <row r="38" ht="15.75" customHeight="1">
      <c r="A38" s="4" t="s">
        <v>48</v>
      </c>
    </row>
    <row r="39" ht="15.75" customHeight="1">
      <c r="A39" s="4" t="s">
        <v>49</v>
      </c>
    </row>
    <row r="40" ht="15.75" customHeight="1">
      <c r="A40" s="4" t="s">
        <v>50</v>
      </c>
    </row>
    <row r="41" ht="15.75" customHeight="1">
      <c r="A41" s="4" t="s">
        <v>51</v>
      </c>
    </row>
    <row r="42" ht="15.75" customHeight="1">
      <c r="A42" s="4" t="s">
        <v>52</v>
      </c>
    </row>
    <row r="43" ht="15.75" customHeight="1">
      <c r="A43" s="4" t="s">
        <v>53</v>
      </c>
    </row>
    <row r="44" ht="15.75" customHeight="1">
      <c r="A44" s="4" t="s">
        <v>54</v>
      </c>
    </row>
    <row r="45" ht="15.75" customHeight="1">
      <c r="A45" s="4" t="s">
        <v>55</v>
      </c>
    </row>
    <row r="46" ht="15.75" customHeight="1">
      <c r="A46" s="4" t="s">
        <v>56</v>
      </c>
    </row>
    <row r="47" ht="15.75" customHeight="1">
      <c r="A47" s="4" t="s">
        <v>57</v>
      </c>
    </row>
    <row r="48" ht="15.75" customHeight="1">
      <c r="A48" s="4" t="s">
        <v>58</v>
      </c>
    </row>
    <row r="49" ht="15.75" customHeight="1">
      <c r="A49" s="4" t="s">
        <v>59</v>
      </c>
    </row>
    <row r="50" ht="15.75" customHeight="1">
      <c r="A50" s="4" t="s">
        <v>60</v>
      </c>
    </row>
    <row r="51" ht="15.75" customHeight="1">
      <c r="A51" s="4" t="s">
        <v>61</v>
      </c>
    </row>
    <row r="52" ht="15.75" customHeight="1">
      <c r="A52" s="4" t="s">
        <v>62</v>
      </c>
    </row>
    <row r="53" ht="15.75" customHeight="1">
      <c r="A53" s="4" t="s">
        <v>63</v>
      </c>
    </row>
    <row r="54" ht="15.75" customHeight="1">
      <c r="A54" s="4" t="s">
        <v>64</v>
      </c>
    </row>
    <row r="55" ht="15.75" customHeight="1">
      <c r="A55" s="4" t="s">
        <v>65</v>
      </c>
    </row>
    <row r="56" ht="15.75" customHeight="1">
      <c r="A56" s="4" t="s">
        <v>66</v>
      </c>
    </row>
    <row r="57" ht="15.75" customHeight="1">
      <c r="A57" s="4" t="s">
        <v>67</v>
      </c>
    </row>
    <row r="58" ht="15.75" customHeight="1">
      <c r="A58" s="4" t="s">
        <v>68</v>
      </c>
    </row>
    <row r="59" ht="15.75" customHeight="1">
      <c r="A59" s="4" t="s">
        <v>69</v>
      </c>
    </row>
    <row r="60" ht="15.75" customHeight="1">
      <c r="A60" s="4" t="s">
        <v>70</v>
      </c>
    </row>
    <row r="61" ht="15.75" customHeight="1">
      <c r="A61" s="4" t="s">
        <v>71</v>
      </c>
    </row>
    <row r="62" ht="15.75" customHeight="1">
      <c r="A62" s="4" t="s">
        <v>72</v>
      </c>
    </row>
    <row r="63" ht="15.75" customHeight="1">
      <c r="A63" s="4" t="s">
        <v>73</v>
      </c>
    </row>
    <row r="64" ht="15.75" customHeight="1">
      <c r="A64" s="4" t="s">
        <v>74</v>
      </c>
    </row>
    <row r="65" ht="15.75" customHeight="1">
      <c r="A65" s="4" t="s">
        <v>75</v>
      </c>
    </row>
    <row r="66" ht="15.75" customHeight="1">
      <c r="A66" s="4" t="s">
        <v>76</v>
      </c>
    </row>
    <row r="67" ht="15.75" customHeight="1">
      <c r="A67" s="4" t="s">
        <v>77</v>
      </c>
    </row>
    <row r="68" ht="15.75" customHeight="1">
      <c r="A68" s="4" t="s">
        <v>78</v>
      </c>
    </row>
    <row r="69" ht="15.75" customHeight="1">
      <c r="A69" s="4" t="s">
        <v>79</v>
      </c>
    </row>
    <row r="70" ht="15.75" customHeight="1">
      <c r="A70" s="4" t="s">
        <v>80</v>
      </c>
    </row>
    <row r="71" ht="15.75" customHeight="1">
      <c r="A71" s="4" t="s">
        <v>81</v>
      </c>
    </row>
    <row r="72" ht="15.75" customHeight="1">
      <c r="A72" s="4" t="s">
        <v>82</v>
      </c>
    </row>
    <row r="73" ht="15.75" customHeight="1">
      <c r="A73" s="4" t="s">
        <v>83</v>
      </c>
    </row>
    <row r="74" ht="15.75" customHeight="1">
      <c r="A74" s="4" t="s">
        <v>84</v>
      </c>
    </row>
    <row r="75" ht="15.75" customHeight="1">
      <c r="A75" s="4" t="s">
        <v>85</v>
      </c>
    </row>
    <row r="76" ht="15.75" customHeight="1">
      <c r="A76" s="4" t="s">
        <v>86</v>
      </c>
    </row>
    <row r="77" ht="15.75" customHeight="1">
      <c r="A77" s="4" t="s">
        <v>87</v>
      </c>
    </row>
    <row r="78" ht="15.75" customHeight="1">
      <c r="A78" s="4" t="s">
        <v>88</v>
      </c>
    </row>
    <row r="79" ht="15.75" customHeight="1">
      <c r="A79" s="4" t="s">
        <v>89</v>
      </c>
    </row>
    <row r="80" ht="15.75" customHeight="1">
      <c r="A80" s="4" t="s">
        <v>90</v>
      </c>
    </row>
    <row r="81" ht="15.75" customHeight="1">
      <c r="A81" s="4" t="s">
        <v>91</v>
      </c>
    </row>
    <row r="82" ht="15.75" customHeight="1">
      <c r="A82" s="4" t="s">
        <v>92</v>
      </c>
    </row>
    <row r="83" ht="15.75" customHeight="1">
      <c r="A83" s="4" t="s">
        <v>93</v>
      </c>
    </row>
    <row r="84" ht="15.75" customHeight="1">
      <c r="A84" s="4" t="s">
        <v>94</v>
      </c>
    </row>
    <row r="85" ht="15.75" customHeight="1">
      <c r="A85" s="4" t="s">
        <v>95</v>
      </c>
    </row>
    <row r="86" ht="15.75" customHeight="1">
      <c r="A86" s="4" t="s">
        <v>96</v>
      </c>
    </row>
    <row r="87" ht="15.75" customHeight="1">
      <c r="A87" s="4" t="s">
        <v>97</v>
      </c>
    </row>
    <row r="88" ht="15.75" customHeight="1">
      <c r="A88" s="4" t="s">
        <v>98</v>
      </c>
    </row>
    <row r="89" ht="15.75" customHeight="1">
      <c r="A89" s="4" t="s">
        <v>99</v>
      </c>
    </row>
    <row r="90" ht="15.75" customHeight="1">
      <c r="A90" s="4" t="s">
        <v>100</v>
      </c>
    </row>
    <row r="91" ht="15.75" customHeight="1">
      <c r="A91" s="4" t="s">
        <v>101</v>
      </c>
    </row>
    <row r="92" ht="15.75" customHeight="1">
      <c r="A92" s="4" t="s">
        <v>102</v>
      </c>
    </row>
    <row r="93" ht="15.75" customHeight="1">
      <c r="A93" s="4" t="s">
        <v>103</v>
      </c>
    </row>
    <row r="94" ht="15.75" customHeight="1">
      <c r="A94" s="4" t="s">
        <v>104</v>
      </c>
    </row>
    <row r="95" ht="15.75" customHeight="1">
      <c r="A95" s="4" t="s">
        <v>105</v>
      </c>
    </row>
    <row r="96" ht="15.75" customHeight="1">
      <c r="A96" s="4" t="s">
        <v>106</v>
      </c>
    </row>
    <row r="97" ht="15.75" customHeight="1">
      <c r="A97" s="4" t="s">
        <v>107</v>
      </c>
    </row>
    <row r="98" ht="15.75" customHeight="1">
      <c r="A98" s="4" t="s">
        <v>108</v>
      </c>
    </row>
    <row r="99" ht="15.75" customHeight="1">
      <c r="A99" s="4" t="s">
        <v>109</v>
      </c>
    </row>
    <row r="100" ht="15.75" customHeight="1">
      <c r="A100" s="4" t="s">
        <v>110</v>
      </c>
    </row>
    <row r="101" ht="15.75" customHeight="1">
      <c r="A101" s="4" t="s">
        <v>111</v>
      </c>
    </row>
    <row r="102" ht="15.75" customHeight="1">
      <c r="A102" s="4" t="s">
        <v>112</v>
      </c>
    </row>
    <row r="103" ht="15.75" customHeight="1">
      <c r="A103" s="4" t="s">
        <v>113</v>
      </c>
    </row>
    <row r="104" ht="15.75" customHeight="1">
      <c r="A104" s="4" t="s">
        <v>114</v>
      </c>
    </row>
    <row r="105" ht="15.75" customHeight="1">
      <c r="A105" s="4" t="s">
        <v>115</v>
      </c>
    </row>
    <row r="106" ht="15.75" customHeight="1">
      <c r="A106" s="4" t="s">
        <v>116</v>
      </c>
    </row>
    <row r="107" ht="15.75" customHeight="1">
      <c r="A107" s="4" t="s">
        <v>117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0.78"/>
    <col customWidth="1" min="3" max="26" width="10.56"/>
  </cols>
  <sheetData>
    <row r="1" ht="15.75" customHeight="1">
      <c r="A1" s="5" t="s">
        <v>0</v>
      </c>
      <c r="B1" s="1" t="s">
        <v>493</v>
      </c>
      <c r="C1" s="1" t="s">
        <v>1</v>
      </c>
    </row>
    <row r="2" ht="15.75" customHeight="1">
      <c r="A2" s="19" t="s">
        <v>145</v>
      </c>
      <c r="B2" s="28">
        <v>75.4</v>
      </c>
      <c r="C2" s="5" t="str">
        <f>VLOOKUP(A2, Country!A:B, 2, FALSE)</f>
        <v>#N/A</v>
      </c>
    </row>
    <row r="3" ht="15.75" customHeight="1">
      <c r="A3" s="19" t="s">
        <v>12</v>
      </c>
      <c r="B3" s="28">
        <v>74.8</v>
      </c>
      <c r="C3" s="5">
        <f>VLOOKUP(A3, Country!A:B, 2, FALSE)</f>
        <v>6862.91</v>
      </c>
    </row>
    <row r="4" ht="15.75" customHeight="1">
      <c r="A4" s="19" t="s">
        <v>15</v>
      </c>
      <c r="B4" s="28">
        <v>73.7</v>
      </c>
      <c r="C4" s="5">
        <f>VLOOKUP(A4, Country!A:B, 2, FALSE)</f>
        <v>4106.34</v>
      </c>
    </row>
    <row r="5" ht="15.75" customHeight="1">
      <c r="A5" s="19" t="s">
        <v>142</v>
      </c>
      <c r="B5" s="28">
        <v>66.1</v>
      </c>
      <c r="C5" s="5" t="str">
        <f>VLOOKUP(A5, Country!A:B, 2, FALSE)</f>
        <v>#N/A</v>
      </c>
    </row>
    <row r="6" ht="15.75" customHeight="1">
      <c r="A6" s="19" t="s">
        <v>16</v>
      </c>
      <c r="B6" s="28">
        <v>65.9</v>
      </c>
      <c r="C6" s="5">
        <f>VLOOKUP(A6, Country!A:B, 2, FALSE)</f>
        <v>4076.16</v>
      </c>
    </row>
    <row r="7" ht="15.75" customHeight="1">
      <c r="A7" s="19" t="s">
        <v>19</v>
      </c>
      <c r="B7" s="28">
        <v>65.7</v>
      </c>
      <c r="C7" s="5">
        <f>VLOOKUP(A7, Country!A:B, 2, FALSE)</f>
        <v>3852.5</v>
      </c>
    </row>
    <row r="8" ht="15.75" customHeight="1">
      <c r="A8" s="19" t="s">
        <v>494</v>
      </c>
      <c r="B8" s="28">
        <v>57.1</v>
      </c>
      <c r="C8" s="5" t="str">
        <f>VLOOKUP(A8, Country!A:B, 2, FALSE)</f>
        <v>#N/A</v>
      </c>
    </row>
    <row r="9" ht="15.75" customHeight="1">
      <c r="A9" s="19" t="s">
        <v>13</v>
      </c>
      <c r="B9" s="28">
        <v>54.8</v>
      </c>
      <c r="C9" s="5">
        <f>VLOOKUP(A9, Country!A:B, 2, FALSE)</f>
        <v>5379.43</v>
      </c>
    </row>
    <row r="10" ht="15.75" customHeight="1">
      <c r="A10" s="19" t="s">
        <v>14</v>
      </c>
      <c r="B10" s="28">
        <v>54.3</v>
      </c>
      <c r="C10" s="5">
        <f>VLOOKUP(A10, Country!A:B, 2, FALSE)</f>
        <v>4269.48</v>
      </c>
    </row>
    <row r="11" ht="15.75" customHeight="1">
      <c r="A11" s="19" t="s">
        <v>159</v>
      </c>
      <c r="B11" s="28">
        <v>53.7</v>
      </c>
      <c r="C11" s="5" t="str">
        <f>VLOOKUP(A11, Country!A:B, 2, FALSE)</f>
        <v>#N/A</v>
      </c>
    </row>
    <row r="12" ht="15.75" customHeight="1">
      <c r="A12" s="19" t="s">
        <v>25</v>
      </c>
      <c r="B12" s="28">
        <v>50.6</v>
      </c>
      <c r="C12" s="5">
        <f>VLOOKUP(A12, Country!A:B, 2, FALSE)</f>
        <v>3441.52</v>
      </c>
    </row>
    <row r="13" ht="15.75" customHeight="1">
      <c r="A13" s="19" t="s">
        <v>21</v>
      </c>
      <c r="B13" s="28">
        <v>49.4</v>
      </c>
      <c r="C13" s="5">
        <f>VLOOKUP(A13, Country!A:B, 2, FALSE)</f>
        <v>3645.41</v>
      </c>
    </row>
    <row r="14" ht="15.75" customHeight="1">
      <c r="A14" s="19" t="s">
        <v>17</v>
      </c>
      <c r="B14" s="28">
        <v>48.6</v>
      </c>
      <c r="C14" s="5">
        <f>VLOOKUP(A14, Country!A:B, 2, FALSE)</f>
        <v>4005.27</v>
      </c>
    </row>
    <row r="15" ht="15.75" customHeight="1">
      <c r="A15" s="19" t="s">
        <v>27</v>
      </c>
      <c r="B15" s="28">
        <v>48.3</v>
      </c>
      <c r="C15" s="5">
        <f>VLOOKUP(A15, Country!A:B, 2, FALSE)</f>
        <v>3301.93</v>
      </c>
    </row>
    <row r="16" ht="15.75" customHeight="1">
      <c r="A16" s="19" t="s">
        <v>127</v>
      </c>
      <c r="B16" s="28">
        <v>47.9</v>
      </c>
      <c r="C16" s="5" t="str">
        <f>VLOOKUP(A16, Country!A:B, 2, FALSE)</f>
        <v>#N/A</v>
      </c>
    </row>
    <row r="17" ht="15.75" customHeight="1">
      <c r="A17" s="19" t="s">
        <v>20</v>
      </c>
      <c r="B17" s="28">
        <v>47.9</v>
      </c>
      <c r="C17" s="5">
        <f>VLOOKUP(A17, Country!A:B, 2, FALSE)</f>
        <v>3829.17</v>
      </c>
    </row>
    <row r="18" ht="15.75" customHeight="1">
      <c r="A18" s="19" t="s">
        <v>23</v>
      </c>
      <c r="B18" s="28">
        <v>47.8</v>
      </c>
      <c r="C18" s="5">
        <f>VLOOKUP(A18, Country!A:B, 2, FALSE)</f>
        <v>3520.47</v>
      </c>
    </row>
    <row r="19" ht="15.75" customHeight="1">
      <c r="A19" s="19" t="s">
        <v>18</v>
      </c>
      <c r="B19" s="28">
        <v>47.1</v>
      </c>
      <c r="C19" s="5">
        <f>VLOOKUP(A19, Country!A:B, 2, FALSE)</f>
        <v>3945.23</v>
      </c>
    </row>
    <row r="20" ht="15.75" customHeight="1">
      <c r="A20" s="19" t="s">
        <v>22</v>
      </c>
      <c r="B20" s="28">
        <v>46.3</v>
      </c>
      <c r="C20" s="5">
        <f>VLOOKUP(A20, Country!A:B, 2, FALSE)</f>
        <v>3572.87</v>
      </c>
    </row>
    <row r="21" ht="15.75" customHeight="1">
      <c r="A21" s="19" t="s">
        <v>30</v>
      </c>
      <c r="B21" s="28">
        <v>46.1</v>
      </c>
      <c r="C21" s="5">
        <f>VLOOKUP(A21, Country!A:B, 2, FALSE)</f>
        <v>3038.11</v>
      </c>
    </row>
    <row r="22" ht="15.75" customHeight="1">
      <c r="A22" s="19" t="s">
        <v>495</v>
      </c>
      <c r="B22" s="28">
        <v>44.6</v>
      </c>
      <c r="C22" s="5" t="str">
        <f>VLOOKUP(A22, Country!A:B, 2, FALSE)</f>
        <v>#N/A</v>
      </c>
    </row>
    <row r="23" ht="15.75" customHeight="1">
      <c r="A23" s="19" t="s">
        <v>34</v>
      </c>
      <c r="B23" s="28">
        <v>43.6</v>
      </c>
      <c r="C23" s="5">
        <f>VLOOKUP(A23, Country!A:B, 2, FALSE)</f>
        <v>2786.82</v>
      </c>
    </row>
    <row r="24" ht="15.75" customHeight="1">
      <c r="A24" s="19" t="s">
        <v>28</v>
      </c>
      <c r="B24" s="28">
        <v>42.4</v>
      </c>
      <c r="C24" s="5">
        <f>VLOOKUP(A24, Country!A:B, 2, FALSE)</f>
        <v>3287.08</v>
      </c>
    </row>
    <row r="25" ht="15.75" customHeight="1">
      <c r="A25" s="19" t="s">
        <v>26</v>
      </c>
      <c r="B25" s="28">
        <v>41.7</v>
      </c>
      <c r="C25" s="5">
        <f>VLOOKUP(A25, Country!A:B, 2, FALSE)</f>
        <v>3372.51</v>
      </c>
    </row>
    <row r="26" ht="15.75" customHeight="1">
      <c r="A26" s="19" t="s">
        <v>38</v>
      </c>
      <c r="B26" s="28">
        <v>41.5</v>
      </c>
      <c r="C26" s="5">
        <f>VLOOKUP(A26, Country!A:B, 2, FALSE)</f>
        <v>2410.53</v>
      </c>
    </row>
    <row r="27" ht="15.75" customHeight="1">
      <c r="A27" s="19" t="s">
        <v>24</v>
      </c>
      <c r="B27" s="28">
        <v>41.2</v>
      </c>
      <c r="C27" s="5">
        <f>VLOOKUP(A27, Country!A:B, 2, FALSE)</f>
        <v>3447.98</v>
      </c>
    </row>
    <row r="28" ht="15.75" customHeight="1">
      <c r="A28" s="19" t="s">
        <v>31</v>
      </c>
      <c r="B28" s="28">
        <v>41.1</v>
      </c>
      <c r="C28" s="5">
        <f>VLOOKUP(A28, Country!A:B, 2, FALSE)</f>
        <v>2987.09</v>
      </c>
    </row>
    <row r="29" ht="15.75" customHeight="1">
      <c r="A29" s="19" t="s">
        <v>35</v>
      </c>
      <c r="B29" s="28">
        <v>41.0</v>
      </c>
      <c r="C29" s="5">
        <f>VLOOKUP(A29, Country!A:B, 2, FALSE)</f>
        <v>2785.28</v>
      </c>
    </row>
    <row r="30" ht="15.75" customHeight="1">
      <c r="A30" s="19" t="s">
        <v>33</v>
      </c>
      <c r="B30" s="28">
        <v>40.1</v>
      </c>
      <c r="C30" s="5">
        <f>VLOOKUP(A30, Country!A:B, 2, FALSE)</f>
        <v>2798.06</v>
      </c>
    </row>
    <row r="31" ht="15.75" customHeight="1">
      <c r="A31" s="19" t="s">
        <v>29</v>
      </c>
      <c r="B31" s="28">
        <v>38.7</v>
      </c>
      <c r="C31" s="5">
        <f>VLOOKUP(A31, Country!A:B, 2, FALSE)</f>
        <v>3072.84</v>
      </c>
    </row>
    <row r="32" ht="15.75" customHeight="1">
      <c r="A32" s="19" t="s">
        <v>37</v>
      </c>
      <c r="B32" s="28">
        <v>38.2</v>
      </c>
      <c r="C32" s="5">
        <f>VLOOKUP(A32, Country!A:B, 2, FALSE)</f>
        <v>2495.16</v>
      </c>
    </row>
    <row r="33" ht="15.75" customHeight="1">
      <c r="A33" s="19" t="s">
        <v>43</v>
      </c>
      <c r="B33" s="28">
        <v>38.2</v>
      </c>
      <c r="C33" s="5">
        <f>VLOOKUP(A33, Country!A:B, 2, FALSE)</f>
        <v>1886.76</v>
      </c>
    </row>
    <row r="34" ht="15.75" customHeight="1">
      <c r="A34" s="19" t="s">
        <v>50</v>
      </c>
      <c r="B34" s="28">
        <v>37.1</v>
      </c>
      <c r="C34" s="5">
        <f>VLOOKUP(A34, Country!A:B, 2, FALSE)</f>
        <v>1537.8</v>
      </c>
    </row>
    <row r="35" ht="15.75" customHeight="1">
      <c r="A35" s="19" t="s">
        <v>44</v>
      </c>
      <c r="B35" s="28">
        <v>36.3</v>
      </c>
      <c r="C35" s="5">
        <f>VLOOKUP(A35, Country!A:B, 2, FALSE)</f>
        <v>1838.18</v>
      </c>
    </row>
    <row r="36" ht="15.75" customHeight="1">
      <c r="A36" s="19" t="s">
        <v>64</v>
      </c>
      <c r="B36" s="28">
        <v>36.1</v>
      </c>
      <c r="C36" s="5">
        <f>VLOOKUP(A36, Country!A:B, 2, FALSE)</f>
        <v>996.61</v>
      </c>
    </row>
    <row r="37" ht="15.75" customHeight="1">
      <c r="A37" s="19" t="s">
        <v>32</v>
      </c>
      <c r="B37" s="28">
        <v>36.0</v>
      </c>
      <c r="C37" s="5">
        <f>VLOOKUP(A37, Country!A:B, 2, FALSE)</f>
        <v>2818.77</v>
      </c>
    </row>
    <row r="38" ht="15.75" customHeight="1">
      <c r="A38" s="19" t="s">
        <v>154</v>
      </c>
      <c r="B38" s="28">
        <v>35.9</v>
      </c>
      <c r="C38" s="5" t="str">
        <f>VLOOKUP(A38, Country!A:B, 2, FALSE)</f>
        <v>#N/A</v>
      </c>
    </row>
    <row r="39" ht="15.75" customHeight="1">
      <c r="A39" s="19" t="s">
        <v>139</v>
      </c>
      <c r="B39" s="28">
        <v>35.0</v>
      </c>
      <c r="C39" s="5" t="str">
        <f>VLOOKUP(A39, Country!A:B, 2, FALSE)</f>
        <v>#N/A</v>
      </c>
    </row>
    <row r="40" ht="15.75" customHeight="1">
      <c r="A40" s="19" t="s">
        <v>66</v>
      </c>
      <c r="B40" s="28">
        <v>34.4</v>
      </c>
      <c r="C40" s="5">
        <f>VLOOKUP(A40, Country!A:B, 2, FALSE)</f>
        <v>927.5</v>
      </c>
    </row>
    <row r="41" ht="15.75" customHeight="1">
      <c r="A41" s="19" t="s">
        <v>46</v>
      </c>
      <c r="B41" s="28">
        <v>34.1</v>
      </c>
      <c r="C41" s="5">
        <f>VLOOKUP(A41, Country!A:B, 2, FALSE)</f>
        <v>1701.32</v>
      </c>
    </row>
    <row r="42" ht="15.75" customHeight="1">
      <c r="A42" s="19" t="s">
        <v>47</v>
      </c>
      <c r="B42" s="28">
        <v>33.8</v>
      </c>
      <c r="C42" s="5">
        <f>VLOOKUP(A42, Country!A:B, 2, FALSE)</f>
        <v>1688.65</v>
      </c>
    </row>
    <row r="43" ht="15.75" customHeight="1">
      <c r="A43" s="19" t="s">
        <v>42</v>
      </c>
      <c r="B43" s="28">
        <v>33.6</v>
      </c>
      <c r="C43" s="5">
        <f>VLOOKUP(A43, Country!A:B, 2, FALSE)</f>
        <v>2042.2</v>
      </c>
    </row>
    <row r="44" ht="15.75" customHeight="1">
      <c r="A44" s="19" t="s">
        <v>68</v>
      </c>
      <c r="B44" s="28">
        <v>33.3</v>
      </c>
      <c r="C44" s="5">
        <f>VLOOKUP(A44, Country!A:B, 2, FALSE)</f>
        <v>897.13</v>
      </c>
    </row>
    <row r="45" ht="15.75" customHeight="1">
      <c r="A45" s="19" t="s">
        <v>56</v>
      </c>
      <c r="B45" s="28">
        <v>32.8</v>
      </c>
      <c r="C45" s="5">
        <f>VLOOKUP(A45, Country!A:B, 2, FALSE)</f>
        <v>1225.66</v>
      </c>
    </row>
    <row r="46" ht="15.75" customHeight="1">
      <c r="A46" s="19" t="s">
        <v>36</v>
      </c>
      <c r="B46" s="28">
        <v>32.2</v>
      </c>
      <c r="C46" s="5">
        <f>VLOOKUP(A46, Country!A:B, 2, FALSE)</f>
        <v>2734.78</v>
      </c>
    </row>
    <row r="47" ht="15.75" customHeight="1">
      <c r="A47" s="19" t="s">
        <v>40</v>
      </c>
      <c r="B47" s="28">
        <v>31.6</v>
      </c>
      <c r="C47" s="5">
        <f>VLOOKUP(A47, Country!A:B, 2, FALSE)</f>
        <v>2092.09</v>
      </c>
    </row>
    <row r="48" ht="15.75" customHeight="1">
      <c r="A48" s="19" t="s">
        <v>123</v>
      </c>
      <c r="B48" s="29">
        <v>31.5</v>
      </c>
      <c r="C48" s="5" t="str">
        <f>VLOOKUP(A48, Country!A:B, 2, FALSE)</f>
        <v>#N/A</v>
      </c>
    </row>
    <row r="49" ht="15.75" customHeight="1">
      <c r="A49" s="19" t="s">
        <v>45</v>
      </c>
      <c r="B49" s="29">
        <v>31.5</v>
      </c>
      <c r="C49" s="5">
        <f>VLOOKUP(A49, Country!A:B, 2, FALSE)</f>
        <v>1701.33</v>
      </c>
    </row>
    <row r="50" ht="15.75" customHeight="1">
      <c r="A50" s="19" t="s">
        <v>63</v>
      </c>
      <c r="B50" s="29">
        <v>31.5</v>
      </c>
      <c r="C50" s="5">
        <f>VLOOKUP(A50, Country!A:B, 2, FALSE)</f>
        <v>1029.74</v>
      </c>
    </row>
    <row r="51" ht="15.75" customHeight="1">
      <c r="A51" s="19" t="s">
        <v>62</v>
      </c>
      <c r="B51" s="29">
        <v>31.1</v>
      </c>
      <c r="C51" s="5">
        <f>VLOOKUP(A51, Country!A:B, 2, FALSE)</f>
        <v>1064.97</v>
      </c>
    </row>
    <row r="52" ht="15.75" customHeight="1">
      <c r="A52" s="19" t="s">
        <v>130</v>
      </c>
      <c r="B52" s="28">
        <v>31.0</v>
      </c>
      <c r="C52" s="5" t="str">
        <f>VLOOKUP(A52, Country!A:B, 2, FALSE)</f>
        <v>#N/A</v>
      </c>
    </row>
    <row r="53" ht="15.75" customHeight="1">
      <c r="A53" s="19" t="s">
        <v>52</v>
      </c>
      <c r="B53" s="29">
        <v>30.9</v>
      </c>
      <c r="C53" s="5">
        <f>VLOOKUP(A53, Country!A:B, 2, FALSE)</f>
        <v>1458.62</v>
      </c>
    </row>
    <row r="54" ht="15.75" customHeight="1">
      <c r="A54" s="19" t="s">
        <v>48</v>
      </c>
      <c r="B54" s="29">
        <v>30.5</v>
      </c>
      <c r="C54" s="5">
        <f>VLOOKUP(A54, Country!A:B, 2, FALSE)</f>
        <v>1644.77</v>
      </c>
    </row>
    <row r="55" ht="15.75" customHeight="1">
      <c r="A55" s="19" t="s">
        <v>51</v>
      </c>
      <c r="B55" s="29">
        <v>30.5</v>
      </c>
      <c r="C55" s="5">
        <f>VLOOKUP(A55, Country!A:B, 2, FALSE)</f>
        <v>1516.63</v>
      </c>
    </row>
    <row r="56" ht="15.75" customHeight="1">
      <c r="A56" s="19" t="s">
        <v>84</v>
      </c>
      <c r="B56" s="29">
        <v>29.9</v>
      </c>
      <c r="C56" s="5">
        <f>VLOOKUP(A56, Country!A:B, 2, FALSE)</f>
        <v>557.97</v>
      </c>
    </row>
    <row r="57" ht="15.75" customHeight="1">
      <c r="A57" s="19" t="s">
        <v>54</v>
      </c>
      <c r="B57" s="29">
        <v>29.7</v>
      </c>
      <c r="C57" s="5">
        <f>VLOOKUP(A57, Country!A:B, 2, FALSE)</f>
        <v>1388.08</v>
      </c>
    </row>
    <row r="58" ht="15.75" customHeight="1">
      <c r="A58" s="19" t="s">
        <v>148</v>
      </c>
      <c r="B58" s="29">
        <v>29.6</v>
      </c>
      <c r="C58" s="5" t="str">
        <f>VLOOKUP(A58, Country!A:B, 2, FALSE)</f>
        <v>#N/A</v>
      </c>
    </row>
    <row r="59" ht="15.75" customHeight="1">
      <c r="A59" s="19" t="s">
        <v>49</v>
      </c>
      <c r="B59" s="29">
        <v>28.8</v>
      </c>
      <c r="C59" s="5">
        <f>VLOOKUP(A59, Country!A:B, 2, FALSE)</f>
        <v>1632.99</v>
      </c>
    </row>
    <row r="60" ht="15.75" customHeight="1">
      <c r="A60" s="19" t="s">
        <v>55</v>
      </c>
      <c r="B60" s="29">
        <v>28.6</v>
      </c>
      <c r="C60" s="5">
        <f>VLOOKUP(A60, Country!A:B, 2, FALSE)</f>
        <v>1298.51</v>
      </c>
    </row>
    <row r="61" ht="15.75" customHeight="1">
      <c r="A61" s="19" t="s">
        <v>39</v>
      </c>
      <c r="B61" s="29">
        <v>28.4</v>
      </c>
      <c r="C61" s="5">
        <f>VLOOKUP(A61, Country!A:B, 2, FALSE)</f>
        <v>2386.32</v>
      </c>
    </row>
    <row r="62" ht="15.75" customHeight="1">
      <c r="A62" s="19" t="s">
        <v>135</v>
      </c>
      <c r="B62" s="29">
        <v>28.2</v>
      </c>
      <c r="C62" s="5" t="str">
        <f>VLOOKUP(A62, Country!A:B, 2, FALSE)</f>
        <v>#N/A</v>
      </c>
    </row>
    <row r="63" ht="15.75" customHeight="1">
      <c r="A63" s="19" t="s">
        <v>140</v>
      </c>
      <c r="B63" s="28">
        <v>28.0</v>
      </c>
      <c r="C63" s="5" t="str">
        <f>VLOOKUP(A63, Country!A:B, 2, FALSE)</f>
        <v>#N/A</v>
      </c>
    </row>
    <row r="64" ht="15.75" customHeight="1">
      <c r="A64" s="19" t="s">
        <v>144</v>
      </c>
      <c r="B64" s="28">
        <v>28.0</v>
      </c>
      <c r="C64" s="5" t="str">
        <f>VLOOKUP(A64, Country!A:B, 2, FALSE)</f>
        <v>#N/A</v>
      </c>
    </row>
    <row r="65" ht="15.75" customHeight="1">
      <c r="A65" s="19" t="s">
        <v>125</v>
      </c>
      <c r="B65" s="29">
        <v>27.9</v>
      </c>
      <c r="C65" s="5" t="str">
        <f>VLOOKUP(A65, Country!A:B, 2, FALSE)</f>
        <v>#N/A</v>
      </c>
    </row>
    <row r="66" ht="15.75" customHeight="1">
      <c r="A66" s="19" t="s">
        <v>151</v>
      </c>
      <c r="B66" s="29">
        <v>27.8</v>
      </c>
      <c r="C66" s="5" t="str">
        <f>VLOOKUP(A66, Country!A:B, 2, FALSE)</f>
        <v>#N/A</v>
      </c>
    </row>
    <row r="67" ht="15.75" customHeight="1">
      <c r="A67" s="19" t="s">
        <v>83</v>
      </c>
      <c r="B67" s="29">
        <v>27.7</v>
      </c>
      <c r="C67" s="5">
        <f>VLOOKUP(A67, Country!A:B, 2, FALSE)</f>
        <v>562.5</v>
      </c>
    </row>
    <row r="68" ht="15.75" customHeight="1">
      <c r="A68" s="19" t="s">
        <v>41</v>
      </c>
      <c r="B68" s="29">
        <v>27.5</v>
      </c>
      <c r="C68" s="5">
        <f>VLOOKUP(A68, Country!A:B, 2, FALSE)</f>
        <v>2068.7</v>
      </c>
    </row>
    <row r="69" ht="15.75" customHeight="1">
      <c r="A69" s="19" t="s">
        <v>146</v>
      </c>
      <c r="B69" s="29">
        <v>27.5</v>
      </c>
      <c r="C69" s="5" t="str">
        <f>VLOOKUP(A69, Country!A:B, 2, FALSE)</f>
        <v>#N/A</v>
      </c>
    </row>
    <row r="70" ht="15.75" customHeight="1">
      <c r="A70" s="19" t="s">
        <v>78</v>
      </c>
      <c r="B70" s="29">
        <v>27.4</v>
      </c>
      <c r="C70" s="5">
        <f>VLOOKUP(A70, Country!A:B, 2, FALSE)</f>
        <v>691.2</v>
      </c>
    </row>
    <row r="71" ht="15.75" customHeight="1">
      <c r="A71" s="19" t="s">
        <v>67</v>
      </c>
      <c r="B71" s="29">
        <v>26.8</v>
      </c>
      <c r="C71" s="5">
        <f>VLOOKUP(A71, Country!A:B, 2, FALSE)</f>
        <v>920.03</v>
      </c>
    </row>
    <row r="72" ht="15.75" customHeight="1">
      <c r="A72" s="19" t="s">
        <v>143</v>
      </c>
      <c r="B72" s="29">
        <v>26.1</v>
      </c>
      <c r="C72" s="5" t="str">
        <f>VLOOKUP(A72, Country!A:B, 2, FALSE)</f>
        <v>#N/A</v>
      </c>
    </row>
    <row r="73" ht="15.75" customHeight="1">
      <c r="A73" s="19" t="s">
        <v>126</v>
      </c>
      <c r="B73" s="29">
        <v>25.5</v>
      </c>
      <c r="C73" s="5" t="str">
        <f>VLOOKUP(A73, Country!A:B, 2, FALSE)</f>
        <v>#N/A</v>
      </c>
    </row>
    <row r="74" ht="15.75" customHeight="1">
      <c r="A74" s="19" t="s">
        <v>69</v>
      </c>
      <c r="B74" s="29">
        <v>25.4</v>
      </c>
      <c r="C74" s="5">
        <f>VLOOKUP(A74, Country!A:B, 2, FALSE)</f>
        <v>888.27</v>
      </c>
    </row>
    <row r="75" ht="15.75" customHeight="1">
      <c r="A75" s="19" t="s">
        <v>70</v>
      </c>
      <c r="B75" s="29">
        <v>25.4</v>
      </c>
      <c r="C75" s="5">
        <f>VLOOKUP(A75, Country!A:B, 2, FALSE)</f>
        <v>826.22</v>
      </c>
    </row>
    <row r="76" ht="15.75" customHeight="1">
      <c r="A76" s="19" t="s">
        <v>58</v>
      </c>
      <c r="B76" s="29">
        <v>25.3</v>
      </c>
      <c r="C76" s="5">
        <f>VLOOKUP(A76, Country!A:B, 2, FALSE)</f>
        <v>1180.91</v>
      </c>
    </row>
    <row r="77" ht="15.75" customHeight="1">
      <c r="A77" s="19" t="s">
        <v>73</v>
      </c>
      <c r="B77" s="28">
        <v>25.0</v>
      </c>
      <c r="C77" s="5">
        <f>VLOOKUP(A77, Country!A:B, 2, FALSE)</f>
        <v>791.88</v>
      </c>
    </row>
    <row r="78" ht="15.75" customHeight="1">
      <c r="A78" s="19" t="s">
        <v>141</v>
      </c>
      <c r="B78" s="29">
        <v>34.8</v>
      </c>
      <c r="C78" s="5" t="str">
        <f>VLOOKUP(A78, Country!A:B, 2, FALSE)</f>
        <v>#N/A</v>
      </c>
    </row>
    <row r="79" ht="15.75" customHeight="1">
      <c r="A79" s="19" t="s">
        <v>136</v>
      </c>
      <c r="B79" s="29">
        <v>24.5</v>
      </c>
      <c r="C79" s="5" t="str">
        <f>VLOOKUP(A79, Country!A:B, 2, FALSE)</f>
        <v>#N/A</v>
      </c>
    </row>
    <row r="80" ht="15.75" customHeight="1">
      <c r="A80" s="19" t="s">
        <v>117</v>
      </c>
      <c r="B80" s="29">
        <v>24.4</v>
      </c>
      <c r="C80" s="5">
        <f>VLOOKUP(A80, Country!A:B, 2, FALSE)</f>
        <v>122.75</v>
      </c>
    </row>
    <row r="81" ht="15.75" customHeight="1">
      <c r="A81" s="19" t="s">
        <v>85</v>
      </c>
      <c r="B81" s="29">
        <v>24.3</v>
      </c>
      <c r="C81" s="5">
        <f>VLOOKUP(A81, Country!A:B, 2, FALSE)</f>
        <v>557.94</v>
      </c>
    </row>
    <row r="82" ht="15.75" customHeight="1">
      <c r="A82" s="19" t="s">
        <v>65</v>
      </c>
      <c r="B82" s="29">
        <v>24.3</v>
      </c>
      <c r="C82" s="5">
        <f>VLOOKUP(A82, Country!A:B, 2, FALSE)</f>
        <v>930.84</v>
      </c>
    </row>
    <row r="83" ht="15.75" customHeight="1">
      <c r="A83" s="19" t="s">
        <v>57</v>
      </c>
      <c r="B83" s="29">
        <v>24.2</v>
      </c>
      <c r="C83" s="5">
        <f>VLOOKUP(A83, Country!A:B, 2, FALSE)</f>
        <v>1187.71</v>
      </c>
    </row>
    <row r="84" ht="15.75" customHeight="1">
      <c r="A84" s="19" t="s">
        <v>76</v>
      </c>
      <c r="B84" s="29">
        <v>24.1</v>
      </c>
      <c r="C84" s="5">
        <f>VLOOKUP(A84, Country!A:B, 2, FALSE)</f>
        <v>716.25</v>
      </c>
    </row>
    <row r="85" ht="15.75" customHeight="1">
      <c r="A85" s="19" t="s">
        <v>75</v>
      </c>
      <c r="B85" s="29">
        <v>24.1</v>
      </c>
      <c r="C85" s="5">
        <f>VLOOKUP(A85, Country!A:B, 2, FALSE)</f>
        <v>741.51</v>
      </c>
    </row>
    <row r="86" ht="15.75" customHeight="1">
      <c r="A86" s="19" t="s">
        <v>81</v>
      </c>
      <c r="B86" s="29">
        <v>24.1</v>
      </c>
      <c r="C86" s="5">
        <f>VLOOKUP(A86, Country!A:B, 2, FALSE)</f>
        <v>632.23</v>
      </c>
    </row>
    <row r="87" ht="15.75" customHeight="1">
      <c r="A87" s="19" t="s">
        <v>156</v>
      </c>
      <c r="B87" s="29">
        <v>23.8</v>
      </c>
      <c r="C87" s="5" t="str">
        <f>VLOOKUP(A87, Country!A:B, 2, FALSE)</f>
        <v>#N/A</v>
      </c>
    </row>
    <row r="88" ht="15.75" customHeight="1">
      <c r="A88" s="19" t="s">
        <v>97</v>
      </c>
      <c r="B88" s="29">
        <v>23.5</v>
      </c>
      <c r="C88" s="5">
        <f>VLOOKUP(A88, Country!A:B, 2, FALSE)</f>
        <v>462.55</v>
      </c>
    </row>
    <row r="89" ht="15.75" customHeight="1">
      <c r="A89" s="19" t="s">
        <v>134</v>
      </c>
      <c r="B89" s="29">
        <v>23.4</v>
      </c>
      <c r="C89" s="5" t="str">
        <f>VLOOKUP(A89, Country!A:B, 2, FALSE)</f>
        <v>#N/A</v>
      </c>
    </row>
    <row r="90" ht="15.75" customHeight="1">
      <c r="A90" s="19" t="s">
        <v>60</v>
      </c>
      <c r="B90" s="29">
        <v>23.2</v>
      </c>
      <c r="C90" s="5">
        <f>VLOOKUP(A90, Country!A:B, 2, FALSE)</f>
        <v>1129.59</v>
      </c>
    </row>
    <row r="91" ht="15.75" customHeight="1">
      <c r="A91" s="19" t="s">
        <v>149</v>
      </c>
      <c r="B91" s="29">
        <v>23.1</v>
      </c>
      <c r="C91" s="5" t="str">
        <f>VLOOKUP(A91, Country!A:B, 2, FALSE)</f>
        <v>#N/A</v>
      </c>
    </row>
    <row r="92" ht="15.75" customHeight="1">
      <c r="A92" s="19" t="s">
        <v>102</v>
      </c>
      <c r="B92" s="29">
        <v>23.1</v>
      </c>
      <c r="C92" s="5">
        <f>VLOOKUP(A92, Country!A:B, 2, FALSE)</f>
        <v>355.56</v>
      </c>
    </row>
    <row r="93" ht="15.75" customHeight="1">
      <c r="A93" s="19" t="s">
        <v>129</v>
      </c>
      <c r="B93" s="29">
        <v>23.1</v>
      </c>
      <c r="C93" s="5" t="str">
        <f>VLOOKUP(A93, Country!A:B, 2, FALSE)</f>
        <v>#N/A</v>
      </c>
    </row>
    <row r="94" ht="15.75" customHeight="1">
      <c r="A94" s="19" t="s">
        <v>133</v>
      </c>
      <c r="B94" s="28">
        <v>23.0</v>
      </c>
      <c r="C94" s="5" t="str">
        <f>VLOOKUP(A94, Country!A:B, 2, FALSE)</f>
        <v>#N/A</v>
      </c>
    </row>
    <row r="95" ht="15.75" customHeight="1">
      <c r="A95" s="19" t="s">
        <v>122</v>
      </c>
      <c r="B95" s="29">
        <v>22.9</v>
      </c>
      <c r="C95" s="5" t="str">
        <f>VLOOKUP(A95, Country!A:B, 2, FALSE)</f>
        <v>#N/A</v>
      </c>
    </row>
    <row r="96" ht="15.75" customHeight="1">
      <c r="A96" s="19" t="s">
        <v>79</v>
      </c>
      <c r="B96" s="29">
        <v>22.7</v>
      </c>
      <c r="C96" s="5">
        <f>VLOOKUP(A96, Country!A:B, 2, FALSE)</f>
        <v>644.82</v>
      </c>
    </row>
    <row r="97" ht="15.75" customHeight="1">
      <c r="A97" s="19" t="s">
        <v>110</v>
      </c>
      <c r="B97" s="29">
        <v>22.6</v>
      </c>
      <c r="C97" s="5">
        <f>VLOOKUP(A97, Country!A:B, 2, FALSE)</f>
        <v>243.75</v>
      </c>
    </row>
    <row r="98" ht="15.75" customHeight="1">
      <c r="A98" s="19" t="s">
        <v>86</v>
      </c>
      <c r="B98" s="29">
        <v>22.6</v>
      </c>
      <c r="C98" s="5">
        <f>VLOOKUP(A98, Country!A:B, 2, FALSE)</f>
        <v>539.49</v>
      </c>
    </row>
    <row r="99" ht="15.75" customHeight="1">
      <c r="A99" s="19" t="s">
        <v>113</v>
      </c>
      <c r="B99" s="29">
        <v>22.4</v>
      </c>
      <c r="C99" s="5">
        <f>VLOOKUP(A99, Country!A:B, 2, FALSE)</f>
        <v>189.88</v>
      </c>
    </row>
    <row r="100" ht="15.75" customHeight="1">
      <c r="A100" s="19" t="s">
        <v>59</v>
      </c>
      <c r="B100" s="29">
        <v>22.2</v>
      </c>
      <c r="C100" s="5">
        <f>VLOOKUP(A100, Country!A:B, 2, FALSE)</f>
        <v>1137.2</v>
      </c>
    </row>
    <row r="101" ht="15.75" customHeight="1">
      <c r="A101" s="19" t="s">
        <v>137</v>
      </c>
      <c r="B101" s="29">
        <v>21.6</v>
      </c>
      <c r="C101" s="5" t="str">
        <f>VLOOKUP(A101, Country!A:B, 2, FALSE)</f>
        <v>#N/A</v>
      </c>
    </row>
    <row r="102" ht="15.75" customHeight="1">
      <c r="A102" s="19" t="s">
        <v>53</v>
      </c>
      <c r="B102" s="29">
        <v>21.6</v>
      </c>
      <c r="C102" s="5">
        <f>VLOOKUP(A102, Country!A:B, 2, FALSE)</f>
        <v>1414.5</v>
      </c>
    </row>
    <row r="103" ht="15.75" customHeight="1">
      <c r="A103" s="19" t="s">
        <v>112</v>
      </c>
      <c r="B103" s="29">
        <v>21.5</v>
      </c>
      <c r="C103" s="5">
        <f>VLOOKUP(A103, Country!A:B, 2, FALSE)</f>
        <v>197.61</v>
      </c>
    </row>
    <row r="104" ht="15.75" customHeight="1">
      <c r="A104" s="19" t="s">
        <v>147</v>
      </c>
      <c r="B104" s="29">
        <v>21.4</v>
      </c>
      <c r="C104" s="5" t="str">
        <f>VLOOKUP(A104, Country!A:B, 2, FALSE)</f>
        <v>#N/A</v>
      </c>
    </row>
    <row r="105" ht="15.75" customHeight="1">
      <c r="A105" s="19" t="s">
        <v>87</v>
      </c>
      <c r="B105" s="29">
        <v>20.5</v>
      </c>
      <c r="C105" s="5">
        <f>VLOOKUP(A105, Country!A:B, 2, FALSE)</f>
        <v>530.59</v>
      </c>
    </row>
    <row r="106" ht="15.75" customHeight="1">
      <c r="A106" s="19" t="s">
        <v>95</v>
      </c>
      <c r="B106" s="29">
        <v>20.4</v>
      </c>
      <c r="C106" s="5">
        <f>VLOOKUP(A106, Country!A:B, 2, FALSE)</f>
        <v>466.32</v>
      </c>
    </row>
    <row r="107" ht="15.75" customHeight="1">
      <c r="A107" s="19" t="s">
        <v>74</v>
      </c>
      <c r="B107" s="29">
        <v>20.3</v>
      </c>
      <c r="C107" s="5">
        <f>VLOOKUP(A107, Country!A:B, 2, FALSE)</f>
        <v>774.99</v>
      </c>
    </row>
    <row r="108" ht="15.75" customHeight="1">
      <c r="A108" s="19" t="s">
        <v>90</v>
      </c>
      <c r="B108" s="29">
        <v>20.3</v>
      </c>
      <c r="C108" s="5">
        <f>VLOOKUP(A108, Country!A:B, 2, FALSE)</f>
        <v>509.62</v>
      </c>
    </row>
    <row r="109" ht="15.75" customHeight="1">
      <c r="A109" s="19" t="s">
        <v>61</v>
      </c>
      <c r="B109" s="29">
        <v>20.1</v>
      </c>
      <c r="C109" s="5">
        <f>VLOOKUP(A109, Country!A:B, 2, FALSE)</f>
        <v>1098.28</v>
      </c>
    </row>
    <row r="110" ht="15.75" customHeight="1">
      <c r="A110" s="19" t="s">
        <v>77</v>
      </c>
      <c r="B110" s="29">
        <v>19.9</v>
      </c>
      <c r="C110" s="5">
        <f>VLOOKUP(A110, Country!A:B, 2, FALSE)</f>
        <v>703</v>
      </c>
    </row>
    <row r="111" ht="15.75" customHeight="1">
      <c r="A111" s="19" t="s">
        <v>80</v>
      </c>
      <c r="B111" s="29">
        <v>19.4</v>
      </c>
      <c r="C111" s="5">
        <f>VLOOKUP(A111, Country!A:B, 2, FALSE)</f>
        <v>644.53</v>
      </c>
    </row>
    <row r="112" ht="15.75" customHeight="1">
      <c r="A112" s="19" t="s">
        <v>101</v>
      </c>
      <c r="B112" s="29">
        <v>19.1</v>
      </c>
      <c r="C112" s="5">
        <f>VLOOKUP(A112, Country!A:B, 2, FALSE)</f>
        <v>367.77</v>
      </c>
    </row>
    <row r="113" ht="15.75" customHeight="1">
      <c r="A113" s="19" t="s">
        <v>106</v>
      </c>
      <c r="B113" s="29">
        <v>19.1</v>
      </c>
      <c r="C113" s="5">
        <f>VLOOKUP(A113, Country!A:B, 2, FALSE)</f>
        <v>318.86</v>
      </c>
    </row>
    <row r="114" ht="15.75" customHeight="1">
      <c r="A114" s="19" t="s">
        <v>96</v>
      </c>
      <c r="B114" s="29">
        <v>18.9</v>
      </c>
      <c r="C114" s="5">
        <f>VLOOKUP(A114, Country!A:B, 2, FALSE)</f>
        <v>463.44</v>
      </c>
    </row>
    <row r="115" ht="15.75" customHeight="1">
      <c r="A115" s="19" t="s">
        <v>99</v>
      </c>
      <c r="B115" s="29">
        <v>18.9</v>
      </c>
      <c r="C115" s="5">
        <f>VLOOKUP(A115, Country!A:B, 2, FALSE)</f>
        <v>381.98</v>
      </c>
    </row>
    <row r="116" ht="15.75" customHeight="1">
      <c r="A116" s="19" t="s">
        <v>94</v>
      </c>
      <c r="B116" s="29">
        <v>18.8</v>
      </c>
      <c r="C116" s="5">
        <f>VLOOKUP(A116, Country!A:B, 2, FALSE)</f>
        <v>469</v>
      </c>
    </row>
    <row r="117" ht="15.75" customHeight="1">
      <c r="A117" s="19" t="s">
        <v>93</v>
      </c>
      <c r="B117" s="29">
        <v>18.3</v>
      </c>
      <c r="C117" s="5">
        <f>VLOOKUP(A117, Country!A:B, 2, FALSE)</f>
        <v>478.72</v>
      </c>
    </row>
    <row r="118" ht="15.75" customHeight="1">
      <c r="A118" s="19" t="s">
        <v>91</v>
      </c>
      <c r="B118" s="29">
        <v>18.2</v>
      </c>
      <c r="C118" s="5">
        <f>VLOOKUP(A118, Country!A:B, 2, FALSE)</f>
        <v>497.47</v>
      </c>
    </row>
    <row r="119" ht="15.75" customHeight="1">
      <c r="A119" s="19" t="s">
        <v>115</v>
      </c>
      <c r="B119" s="29">
        <v>18.2</v>
      </c>
      <c r="C119" s="5">
        <f>VLOOKUP(A119, Country!A:B, 2, FALSE)</f>
        <v>177.32</v>
      </c>
    </row>
    <row r="120" ht="15.75" customHeight="1">
      <c r="A120" s="19" t="s">
        <v>98</v>
      </c>
      <c r="B120" s="29">
        <v>18.1</v>
      </c>
      <c r="C120" s="5">
        <f>VLOOKUP(A120, Country!A:B, 2, FALSE)</f>
        <v>427.57</v>
      </c>
    </row>
    <row r="121" ht="15.75" customHeight="1">
      <c r="A121" s="19" t="s">
        <v>82</v>
      </c>
      <c r="B121" s="29">
        <v>17.8</v>
      </c>
      <c r="C121" s="5">
        <f>VLOOKUP(A121, Country!A:B, 2, FALSE)</f>
        <v>626.51</v>
      </c>
    </row>
    <row r="122" ht="15.75" customHeight="1">
      <c r="A122" s="19" t="s">
        <v>150</v>
      </c>
      <c r="B122" s="29">
        <v>17.7</v>
      </c>
      <c r="C122" s="5" t="str">
        <f>VLOOKUP(A122, Country!A:B, 2, FALSE)</f>
        <v>#N/A</v>
      </c>
    </row>
    <row r="123" ht="15.75" customHeight="1">
      <c r="A123" s="19" t="s">
        <v>89</v>
      </c>
      <c r="B123" s="29">
        <v>17.4</v>
      </c>
      <c r="C123" s="5">
        <f>VLOOKUP(A123, Country!A:B, 2, FALSE)</f>
        <v>512.56</v>
      </c>
    </row>
    <row r="124" ht="15.75" customHeight="1">
      <c r="A124" s="19" t="s">
        <v>88</v>
      </c>
      <c r="B124" s="29">
        <v>17.3</v>
      </c>
      <c r="C124" s="5">
        <f>VLOOKUP(A124, Country!A:B, 2, FALSE)</f>
        <v>527.49</v>
      </c>
    </row>
    <row r="125" ht="15.75" customHeight="1">
      <c r="A125" s="19" t="s">
        <v>104</v>
      </c>
      <c r="B125" s="29">
        <v>17.1</v>
      </c>
      <c r="C125" s="5">
        <f>VLOOKUP(A125, Country!A:B, 2, FALSE)</f>
        <v>325.8</v>
      </c>
    </row>
    <row r="126" ht="15.75" customHeight="1">
      <c r="A126" s="19" t="s">
        <v>92</v>
      </c>
      <c r="B126" s="29">
        <v>17.1</v>
      </c>
      <c r="C126" s="5">
        <f>VLOOKUP(A126, Country!A:B, 2, FALSE)</f>
        <v>485.26</v>
      </c>
    </row>
    <row r="127" ht="15.75" customHeight="1">
      <c r="A127" s="19" t="s">
        <v>109</v>
      </c>
      <c r="B127" s="29">
        <v>16.8</v>
      </c>
      <c r="C127" s="5">
        <f>VLOOKUP(A127, Country!A:B, 2, FALSE)</f>
        <v>253.36</v>
      </c>
    </row>
    <row r="128" ht="15.75" customHeight="1">
      <c r="A128" s="19" t="s">
        <v>100</v>
      </c>
      <c r="B128" s="29">
        <v>16.6</v>
      </c>
      <c r="C128" s="5">
        <f>VLOOKUP(A128, Country!A:B, 2, FALSE)</f>
        <v>377.54</v>
      </c>
    </row>
    <row r="129" ht="15.75" customHeight="1">
      <c r="A129" s="19" t="s">
        <v>105</v>
      </c>
      <c r="B129" s="29">
        <v>16.3</v>
      </c>
      <c r="C129" s="5">
        <f>VLOOKUP(A129, Country!A:B, 2, FALSE)</f>
        <v>324.92</v>
      </c>
    </row>
    <row r="130" ht="15.75" customHeight="1">
      <c r="A130" s="19" t="s">
        <v>72</v>
      </c>
      <c r="B130" s="29">
        <v>15.8</v>
      </c>
      <c r="C130" s="5">
        <f>VLOOKUP(A130, Country!A:B, 2, FALSE)</f>
        <v>792.5</v>
      </c>
    </row>
    <row r="131" ht="15.75" customHeight="1">
      <c r="A131" s="19" t="s">
        <v>107</v>
      </c>
      <c r="B131" s="29">
        <v>15.2</v>
      </c>
      <c r="C131" s="5">
        <f>VLOOKUP(A131, Country!A:B, 2, FALSE)</f>
        <v>311.09</v>
      </c>
    </row>
    <row r="132" ht="15.75" customHeight="1">
      <c r="A132" s="19" t="s">
        <v>155</v>
      </c>
      <c r="B132" s="29">
        <v>14.5</v>
      </c>
      <c r="C132" s="5" t="str">
        <f>VLOOKUP(A132, Country!A:B, 2, FALSE)</f>
        <v>#N/A</v>
      </c>
    </row>
    <row r="133" ht="15.75" customHeight="1">
      <c r="A133" s="19" t="s">
        <v>111</v>
      </c>
      <c r="B133" s="29">
        <v>14.1</v>
      </c>
      <c r="C133" s="5">
        <f>VLOOKUP(A133, Country!A:B, 2, FALSE)</f>
        <v>228.51</v>
      </c>
    </row>
    <row r="134" ht="15.75" customHeight="1">
      <c r="A134" s="19" t="s">
        <v>210</v>
      </c>
      <c r="B134" s="29">
        <v>13.5</v>
      </c>
      <c r="C134" s="5" t="str">
        <f>VLOOKUP(A134, Country!A:B, 2, FALSE)</f>
        <v>#N/A</v>
      </c>
    </row>
    <row r="135" ht="15.75" customHeight="1">
      <c r="A135" s="19" t="s">
        <v>71</v>
      </c>
      <c r="B135" s="29">
        <v>13.1</v>
      </c>
      <c r="C135" s="5">
        <f>VLOOKUP(A135, Country!A:B, 2, FALSE)</f>
        <v>823.76</v>
      </c>
    </row>
    <row r="136" ht="15.75" customHeight="1">
      <c r="A136" s="19" t="s">
        <v>108</v>
      </c>
      <c r="B136" s="29">
        <v>12.7</v>
      </c>
      <c r="C136" s="5">
        <f>VLOOKUP(A136, Country!A:B, 2, FALSE)</f>
        <v>271.78</v>
      </c>
    </row>
    <row r="137" ht="15.75" customHeight="1">
      <c r="A137" s="19" t="s">
        <v>116</v>
      </c>
      <c r="B137" s="29">
        <v>12.2</v>
      </c>
      <c r="C137" s="5">
        <f>VLOOKUP(A137, Country!A:B, 2, FALSE)</f>
        <v>147.61</v>
      </c>
    </row>
    <row r="138" ht="15.75" customHeight="1">
      <c r="A138" s="19" t="s">
        <v>103</v>
      </c>
      <c r="B138" s="29">
        <v>12.1</v>
      </c>
      <c r="C138" s="5">
        <f>VLOOKUP(A138, Country!A:B, 2, FALSE)</f>
        <v>347.57</v>
      </c>
    </row>
    <row r="139" ht="15.75" customHeight="1">
      <c r="A139" s="19" t="s">
        <v>157</v>
      </c>
      <c r="B139" s="28">
        <v>12.0</v>
      </c>
      <c r="C139" s="5" t="str">
        <f>VLOOKUP(A139, Country!A:B, 2, FALSE)</f>
        <v>#N/A</v>
      </c>
    </row>
    <row r="140" ht="15.75" customHeight="1">
      <c r="A140" s="19" t="s">
        <v>114</v>
      </c>
      <c r="B140" s="29">
        <v>11.2</v>
      </c>
      <c r="C140" s="5">
        <f>VLOOKUP(A140, Country!A:B, 2, FALSE)</f>
        <v>181.6</v>
      </c>
    </row>
    <row r="141" ht="15.75" customHeight="1">
      <c r="B141" s="29"/>
    </row>
    <row r="142" ht="15.75" customHeight="1">
      <c r="B142" s="29"/>
    </row>
    <row r="143" ht="15.75" customHeight="1">
      <c r="B143" s="29"/>
    </row>
    <row r="144" ht="15.75" customHeight="1">
      <c r="B144" s="29"/>
    </row>
    <row r="145" ht="15.75" customHeight="1">
      <c r="B145" s="29"/>
    </row>
    <row r="146" ht="15.75" customHeight="1">
      <c r="B146" s="29"/>
    </row>
    <row r="147" ht="15.75" customHeight="1">
      <c r="B147" s="29"/>
    </row>
    <row r="148" ht="15.75" customHeight="1">
      <c r="B148" s="29"/>
    </row>
    <row r="149" ht="15.75" customHeight="1">
      <c r="B149" s="29"/>
    </row>
    <row r="150" ht="15.75" customHeight="1">
      <c r="B150" s="29"/>
    </row>
    <row r="151" ht="15.75" customHeight="1">
      <c r="B151" s="29"/>
    </row>
    <row r="152" ht="15.75" customHeight="1">
      <c r="B152" s="29"/>
    </row>
    <row r="153" ht="15.75" customHeight="1">
      <c r="B153" s="29"/>
    </row>
    <row r="154" ht="15.75" customHeight="1">
      <c r="B154" s="29"/>
    </row>
    <row r="155" ht="15.75" customHeight="1">
      <c r="B155" s="29"/>
    </row>
    <row r="156" ht="15.75" customHeight="1">
      <c r="B156" s="29"/>
    </row>
    <row r="157" ht="15.75" customHeight="1">
      <c r="B157" s="29"/>
    </row>
    <row r="158" ht="15.75" customHeight="1">
      <c r="B158" s="29"/>
    </row>
    <row r="159" ht="15.75" customHeight="1">
      <c r="B159" s="29"/>
    </row>
    <row r="160" ht="15.75" customHeight="1">
      <c r="B160" s="29"/>
    </row>
    <row r="161" ht="15.75" customHeight="1">
      <c r="B161" s="29"/>
    </row>
    <row r="162" ht="15.75" customHeight="1">
      <c r="B162" s="29"/>
    </row>
    <row r="163" ht="15.75" customHeight="1">
      <c r="B163" s="29"/>
    </row>
    <row r="164" ht="15.75" customHeight="1">
      <c r="B164" s="29"/>
    </row>
    <row r="165" ht="15.75" customHeight="1">
      <c r="B165" s="29"/>
    </row>
    <row r="166" ht="15.75" customHeight="1">
      <c r="B166" s="29"/>
    </row>
    <row r="167" ht="15.75" customHeight="1">
      <c r="B167" s="29"/>
    </row>
    <row r="168" ht="15.75" customHeight="1">
      <c r="B168" s="29"/>
    </row>
    <row r="169" ht="15.75" customHeight="1">
      <c r="B169" s="29"/>
    </row>
    <row r="170" ht="15.75" customHeight="1">
      <c r="B170" s="29"/>
    </row>
    <row r="171" ht="15.75" customHeight="1">
      <c r="B171" s="29"/>
    </row>
    <row r="172" ht="15.75" customHeight="1">
      <c r="B172" s="29"/>
    </row>
    <row r="173" ht="15.75" customHeight="1">
      <c r="B173" s="29"/>
    </row>
    <row r="174" ht="15.75" customHeight="1">
      <c r="B174" s="29"/>
    </row>
    <row r="175" ht="15.75" customHeight="1">
      <c r="B175" s="29"/>
    </row>
    <row r="176" ht="15.75" customHeight="1">
      <c r="B176" s="29"/>
    </row>
    <row r="177" ht="15.75" customHeight="1">
      <c r="B177" s="29"/>
    </row>
    <row r="178" ht="15.75" customHeight="1">
      <c r="B178" s="29"/>
    </row>
    <row r="179" ht="15.75" customHeight="1">
      <c r="B179" s="29"/>
    </row>
    <row r="180" ht="15.75" customHeight="1">
      <c r="B180" s="29"/>
    </row>
    <row r="181" ht="15.75" customHeight="1">
      <c r="B181" s="29"/>
    </row>
    <row r="182" ht="15.75" customHeight="1">
      <c r="B182" s="29"/>
    </row>
    <row r="183" ht="15.75" customHeight="1">
      <c r="B183" s="29"/>
    </row>
    <row r="184" ht="15.75" customHeight="1">
      <c r="B184" s="29"/>
    </row>
    <row r="185" ht="15.75" customHeight="1">
      <c r="B185" s="29"/>
    </row>
    <row r="186" ht="15.75" customHeight="1">
      <c r="B186" s="29"/>
    </row>
    <row r="187" ht="15.75" customHeight="1">
      <c r="B187" s="29"/>
    </row>
    <row r="188" ht="15.75" customHeight="1">
      <c r="B188" s="29"/>
    </row>
    <row r="189" ht="15.75" customHeight="1">
      <c r="B189" s="29"/>
    </row>
    <row r="190" ht="15.75" customHeight="1">
      <c r="B190" s="29"/>
    </row>
    <row r="191" ht="15.75" customHeight="1">
      <c r="B191" s="29"/>
    </row>
    <row r="192" ht="15.75" customHeight="1">
      <c r="B192" s="29"/>
    </row>
    <row r="193" ht="15.75" customHeight="1">
      <c r="B193" s="29"/>
    </row>
    <row r="194" ht="15.75" customHeight="1">
      <c r="B194" s="29"/>
    </row>
    <row r="195" ht="15.75" customHeight="1">
      <c r="B195" s="29"/>
    </row>
    <row r="196" ht="15.75" customHeight="1">
      <c r="B196" s="29"/>
    </row>
    <row r="197" ht="15.75" customHeight="1">
      <c r="B197" s="29"/>
    </row>
    <row r="198" ht="15.75" customHeight="1">
      <c r="B198" s="29"/>
    </row>
    <row r="199" ht="15.75" customHeight="1">
      <c r="B199" s="29"/>
    </row>
    <row r="200" ht="15.75" customHeight="1">
      <c r="B200" s="29"/>
    </row>
    <row r="201" ht="15.75" customHeight="1">
      <c r="B201" s="29"/>
    </row>
    <row r="202" ht="15.75" customHeight="1">
      <c r="B202" s="29"/>
    </row>
    <row r="203" ht="15.75" customHeight="1">
      <c r="B203" s="29"/>
    </row>
    <row r="204" ht="15.75" customHeight="1">
      <c r="B204" s="29"/>
    </row>
    <row r="205" ht="15.75" customHeight="1">
      <c r="B205" s="29"/>
    </row>
    <row r="206" ht="15.75" customHeight="1">
      <c r="B206" s="29"/>
    </row>
    <row r="207" ht="15.75" customHeight="1">
      <c r="B207" s="29"/>
    </row>
    <row r="208" ht="15.75" customHeight="1">
      <c r="B208" s="29"/>
    </row>
    <row r="209" ht="15.75" customHeight="1">
      <c r="B209" s="29"/>
    </row>
    <row r="210" ht="15.75" customHeight="1">
      <c r="B210" s="29"/>
    </row>
    <row r="211" ht="15.75" customHeight="1">
      <c r="B211" s="29"/>
    </row>
    <row r="212" ht="15.75" customHeight="1">
      <c r="B212" s="29"/>
    </row>
    <row r="213" ht="15.75" customHeight="1">
      <c r="B213" s="29"/>
    </row>
    <row r="214" ht="15.75" customHeight="1">
      <c r="B214" s="29"/>
    </row>
    <row r="215" ht="15.75" customHeight="1">
      <c r="B215" s="29"/>
    </row>
    <row r="216" ht="15.75" customHeight="1">
      <c r="B216" s="29"/>
    </row>
    <row r="217" ht="15.75" customHeight="1">
      <c r="B217" s="29"/>
    </row>
    <row r="218" ht="15.75" customHeight="1">
      <c r="B218" s="29"/>
    </row>
    <row r="219" ht="15.75" customHeight="1">
      <c r="B219" s="29"/>
    </row>
    <row r="220" ht="15.75" customHeight="1">
      <c r="B220" s="29"/>
    </row>
    <row r="221" ht="15.75" customHeight="1">
      <c r="B221" s="29"/>
    </row>
    <row r="222" ht="15.75" customHeight="1">
      <c r="B222" s="29"/>
    </row>
    <row r="223" ht="15.75" customHeight="1">
      <c r="B223" s="29"/>
    </row>
    <row r="224" ht="15.75" customHeight="1">
      <c r="B224" s="29"/>
    </row>
    <row r="225" ht="15.75" customHeight="1">
      <c r="B225" s="29"/>
    </row>
    <row r="226" ht="15.75" customHeight="1">
      <c r="B226" s="29"/>
    </row>
    <row r="227" ht="15.75" customHeight="1">
      <c r="B227" s="29"/>
    </row>
    <row r="228" ht="15.75" customHeight="1">
      <c r="B228" s="29"/>
    </row>
    <row r="229" ht="15.75" customHeight="1">
      <c r="B229" s="29"/>
    </row>
    <row r="230" ht="15.75" customHeight="1">
      <c r="B230" s="29"/>
    </row>
    <row r="231" ht="15.75" customHeight="1">
      <c r="B231" s="29"/>
    </row>
    <row r="232" ht="15.75" customHeight="1">
      <c r="B232" s="29"/>
    </row>
    <row r="233" ht="15.75" customHeight="1">
      <c r="B233" s="29"/>
    </row>
    <row r="234" ht="15.75" customHeight="1">
      <c r="B234" s="29"/>
    </row>
    <row r="235" ht="15.75" customHeight="1">
      <c r="B235" s="29"/>
    </row>
    <row r="236" ht="15.75" customHeight="1">
      <c r="B236" s="29"/>
    </row>
    <row r="237" ht="15.75" customHeight="1">
      <c r="B237" s="29"/>
    </row>
    <row r="238" ht="15.75" customHeight="1">
      <c r="B238" s="29"/>
    </row>
    <row r="239" ht="15.75" customHeight="1">
      <c r="B239" s="29"/>
    </row>
    <row r="240" ht="15.75" customHeight="1">
      <c r="B240" s="29"/>
    </row>
    <row r="241" ht="15.75" customHeight="1">
      <c r="B241" s="29"/>
    </row>
    <row r="242" ht="15.75" customHeight="1">
      <c r="B242" s="29"/>
    </row>
    <row r="243" ht="15.75" customHeight="1">
      <c r="B243" s="29"/>
    </row>
    <row r="244" ht="15.75" customHeight="1">
      <c r="B244" s="29"/>
    </row>
    <row r="245" ht="15.75" customHeight="1">
      <c r="B245" s="29"/>
    </row>
    <row r="246" ht="15.75" customHeight="1">
      <c r="B246" s="29"/>
    </row>
    <row r="247" ht="15.75" customHeight="1">
      <c r="B247" s="29"/>
    </row>
    <row r="248" ht="15.75" customHeight="1">
      <c r="B248" s="29"/>
    </row>
    <row r="249" ht="15.75" customHeight="1">
      <c r="B249" s="29"/>
    </row>
    <row r="250" ht="15.75" customHeight="1">
      <c r="B250" s="29"/>
    </row>
    <row r="251" ht="15.75" customHeight="1">
      <c r="B251" s="29"/>
    </row>
    <row r="252" ht="15.75" customHeight="1">
      <c r="B252" s="29"/>
    </row>
    <row r="253" ht="15.75" customHeight="1">
      <c r="B253" s="29"/>
    </row>
    <row r="254" ht="15.75" customHeight="1">
      <c r="B254" s="29"/>
    </row>
    <row r="255" ht="15.75" customHeight="1">
      <c r="B255" s="29"/>
    </row>
    <row r="256" ht="15.75" customHeight="1">
      <c r="B256" s="29"/>
    </row>
    <row r="257" ht="15.75" customHeight="1">
      <c r="B257" s="29"/>
    </row>
    <row r="258" ht="15.75" customHeight="1">
      <c r="B258" s="29"/>
    </row>
    <row r="259" ht="15.75" customHeight="1">
      <c r="B259" s="29"/>
    </row>
    <row r="260" ht="15.75" customHeight="1">
      <c r="B260" s="29"/>
    </row>
    <row r="261" ht="15.75" customHeight="1">
      <c r="B261" s="29"/>
    </row>
    <row r="262" ht="15.75" customHeight="1">
      <c r="B262" s="29"/>
    </row>
    <row r="263" ht="15.75" customHeight="1">
      <c r="B263" s="29"/>
    </row>
    <row r="264" ht="15.75" customHeight="1">
      <c r="B264" s="29"/>
    </row>
    <row r="265" ht="15.75" customHeight="1">
      <c r="B265" s="29"/>
    </row>
    <row r="266" ht="15.75" customHeight="1">
      <c r="B266" s="29"/>
    </row>
    <row r="267" ht="15.75" customHeight="1">
      <c r="B267" s="29"/>
    </row>
    <row r="268" ht="15.75" customHeight="1">
      <c r="B268" s="29"/>
    </row>
    <row r="269" ht="15.75" customHeight="1">
      <c r="B269" s="29"/>
    </row>
    <row r="270" ht="15.75" customHeight="1">
      <c r="B270" s="29"/>
    </row>
    <row r="271" ht="15.75" customHeight="1">
      <c r="B271" s="29"/>
    </row>
    <row r="272" ht="15.75" customHeight="1">
      <c r="B272" s="29"/>
    </row>
    <row r="273" ht="15.75" customHeight="1">
      <c r="B273" s="29"/>
    </row>
    <row r="274" ht="15.75" customHeight="1">
      <c r="B274" s="29"/>
    </row>
    <row r="275" ht="15.75" customHeight="1">
      <c r="B275" s="29"/>
    </row>
    <row r="276" ht="15.75" customHeight="1">
      <c r="B276" s="29"/>
    </row>
    <row r="277" ht="15.75" customHeight="1">
      <c r="B277" s="29"/>
    </row>
    <row r="278" ht="15.75" customHeight="1">
      <c r="B278" s="29"/>
    </row>
    <row r="279" ht="15.75" customHeight="1">
      <c r="B279" s="29"/>
    </row>
    <row r="280" ht="15.75" customHeight="1">
      <c r="B280" s="29"/>
    </row>
    <row r="281" ht="15.75" customHeight="1">
      <c r="B281" s="29"/>
    </row>
    <row r="282" ht="15.75" customHeight="1">
      <c r="B282" s="29"/>
    </row>
    <row r="283" ht="15.75" customHeight="1">
      <c r="B283" s="29"/>
    </row>
    <row r="284" ht="15.75" customHeight="1">
      <c r="B284" s="29"/>
    </row>
    <row r="285" ht="15.75" customHeight="1">
      <c r="B285" s="29"/>
    </row>
    <row r="286" ht="15.75" customHeight="1">
      <c r="B286" s="29"/>
    </row>
    <row r="287" ht="15.75" customHeight="1">
      <c r="B287" s="29"/>
    </row>
    <row r="288" ht="15.75" customHeight="1">
      <c r="B288" s="29"/>
    </row>
    <row r="289" ht="15.75" customHeight="1">
      <c r="B289" s="29"/>
    </row>
    <row r="290" ht="15.75" customHeight="1">
      <c r="B290" s="29"/>
    </row>
    <row r="291" ht="15.75" customHeight="1">
      <c r="B291" s="29"/>
    </row>
    <row r="292" ht="15.75" customHeight="1">
      <c r="B292" s="29"/>
    </row>
    <row r="293" ht="15.75" customHeight="1">
      <c r="B293" s="29"/>
    </row>
    <row r="294" ht="15.75" customHeight="1">
      <c r="B294" s="29"/>
    </row>
    <row r="295" ht="15.75" customHeight="1">
      <c r="B295" s="29"/>
    </row>
    <row r="296" ht="15.75" customHeight="1">
      <c r="B296" s="29"/>
    </row>
    <row r="297" ht="15.75" customHeight="1">
      <c r="B297" s="29"/>
    </row>
    <row r="298" ht="15.75" customHeight="1">
      <c r="B298" s="29"/>
    </row>
    <row r="299" ht="15.75" customHeight="1">
      <c r="B299" s="29"/>
    </row>
    <row r="300" ht="15.75" customHeight="1">
      <c r="B300" s="29"/>
    </row>
    <row r="301" ht="15.75" customHeight="1">
      <c r="B301" s="29"/>
    </row>
    <row r="302" ht="15.75" customHeight="1">
      <c r="B302" s="29"/>
    </row>
    <row r="303" ht="15.75" customHeight="1">
      <c r="B303" s="29"/>
    </row>
    <row r="304" ht="15.75" customHeight="1">
      <c r="B304" s="29"/>
    </row>
    <row r="305" ht="15.75" customHeight="1">
      <c r="B305" s="29"/>
    </row>
    <row r="306" ht="15.75" customHeight="1">
      <c r="B306" s="29"/>
    </row>
    <row r="307" ht="15.75" customHeight="1">
      <c r="B307" s="29"/>
    </row>
    <row r="308" ht="15.75" customHeight="1">
      <c r="B308" s="29"/>
    </row>
    <row r="309" ht="15.75" customHeight="1">
      <c r="B309" s="29"/>
    </row>
    <row r="310" ht="15.75" customHeight="1">
      <c r="B310" s="29"/>
    </row>
    <row r="311" ht="15.75" customHeight="1">
      <c r="B311" s="29"/>
    </row>
    <row r="312" ht="15.75" customHeight="1">
      <c r="B312" s="29"/>
    </row>
    <row r="313" ht="15.75" customHeight="1">
      <c r="B313" s="29"/>
    </row>
    <row r="314" ht="15.75" customHeight="1">
      <c r="B314" s="29"/>
    </row>
    <row r="315" ht="15.75" customHeight="1">
      <c r="B315" s="29"/>
    </row>
    <row r="316" ht="15.75" customHeight="1">
      <c r="B316" s="29"/>
    </row>
    <row r="317" ht="15.75" customHeight="1">
      <c r="B317" s="29"/>
    </row>
    <row r="318" ht="15.75" customHeight="1">
      <c r="B318" s="29"/>
    </row>
    <row r="319" ht="15.75" customHeight="1">
      <c r="B319" s="29"/>
    </row>
    <row r="320" ht="15.75" customHeight="1">
      <c r="B320" s="29"/>
    </row>
    <row r="321" ht="15.75" customHeight="1">
      <c r="B321" s="29"/>
    </row>
    <row r="322" ht="15.75" customHeight="1">
      <c r="B322" s="29"/>
    </row>
    <row r="323" ht="15.75" customHeight="1">
      <c r="B323" s="29"/>
    </row>
    <row r="324" ht="15.75" customHeight="1">
      <c r="B324" s="29"/>
    </row>
    <row r="325" ht="15.75" customHeight="1">
      <c r="B325" s="29"/>
    </row>
    <row r="326" ht="15.75" customHeight="1">
      <c r="B326" s="29"/>
    </row>
    <row r="327" ht="15.75" customHeight="1">
      <c r="B327" s="29"/>
    </row>
    <row r="328" ht="15.75" customHeight="1">
      <c r="B328" s="29"/>
    </row>
    <row r="329" ht="15.75" customHeight="1">
      <c r="B329" s="29"/>
    </row>
    <row r="330" ht="15.75" customHeight="1">
      <c r="B330" s="29"/>
    </row>
    <row r="331" ht="15.75" customHeight="1">
      <c r="B331" s="29"/>
    </row>
    <row r="332" ht="15.75" customHeight="1">
      <c r="B332" s="29"/>
    </row>
    <row r="333" ht="15.75" customHeight="1">
      <c r="B333" s="29"/>
    </row>
    <row r="334" ht="15.75" customHeight="1">
      <c r="B334" s="29"/>
    </row>
    <row r="335" ht="15.75" customHeight="1">
      <c r="B335" s="29"/>
    </row>
    <row r="336" ht="15.75" customHeight="1">
      <c r="B336" s="29"/>
    </row>
    <row r="337" ht="15.75" customHeight="1">
      <c r="B337" s="29"/>
    </row>
    <row r="338" ht="15.75" customHeight="1">
      <c r="B338" s="29"/>
    </row>
    <row r="339" ht="15.75" customHeight="1">
      <c r="B339" s="29"/>
    </row>
    <row r="340" ht="15.75" customHeight="1">
      <c r="B340" s="29"/>
    </row>
    <row r="341" ht="15.75" customHeight="1">
      <c r="B341" s="29"/>
    </row>
    <row r="342" ht="15.75" customHeight="1">
      <c r="B342" s="29"/>
    </row>
    <row r="343" ht="15.75" customHeight="1">
      <c r="B343" s="29"/>
    </row>
    <row r="344" ht="15.75" customHeight="1">
      <c r="B344" s="29"/>
    </row>
    <row r="345" ht="15.75" customHeight="1">
      <c r="B345" s="29"/>
    </row>
    <row r="346" ht="15.75" customHeight="1">
      <c r="B346" s="29"/>
    </row>
    <row r="347" ht="15.75" customHeight="1">
      <c r="B347" s="29"/>
    </row>
    <row r="348" ht="15.75" customHeight="1">
      <c r="B348" s="29"/>
    </row>
    <row r="349" ht="15.75" customHeight="1">
      <c r="B349" s="29"/>
    </row>
    <row r="350" ht="15.75" customHeight="1">
      <c r="B350" s="29"/>
    </row>
    <row r="351" ht="15.75" customHeight="1">
      <c r="B351" s="29"/>
    </row>
    <row r="352" ht="15.75" customHeight="1">
      <c r="B352" s="29"/>
    </row>
    <row r="353" ht="15.75" customHeight="1">
      <c r="B353" s="29"/>
    </row>
    <row r="354" ht="15.75" customHeight="1">
      <c r="B354" s="29"/>
    </row>
    <row r="355" ht="15.75" customHeight="1">
      <c r="B355" s="29"/>
    </row>
    <row r="356" ht="15.75" customHeight="1">
      <c r="B356" s="29"/>
    </row>
    <row r="357" ht="15.75" customHeight="1">
      <c r="B357" s="29"/>
    </row>
    <row r="358" ht="15.75" customHeight="1">
      <c r="B358" s="29"/>
    </row>
    <row r="359" ht="15.75" customHeight="1">
      <c r="B359" s="29"/>
    </row>
    <row r="360" ht="15.75" customHeight="1">
      <c r="B360" s="29"/>
    </row>
    <row r="361" ht="15.75" customHeight="1">
      <c r="B361" s="29"/>
    </row>
    <row r="362" ht="15.75" customHeight="1">
      <c r="B362" s="29"/>
    </row>
    <row r="363" ht="15.75" customHeight="1">
      <c r="B363" s="29"/>
    </row>
    <row r="364" ht="15.75" customHeight="1">
      <c r="B364" s="29"/>
    </row>
    <row r="365" ht="15.75" customHeight="1">
      <c r="B365" s="29"/>
    </row>
    <row r="366" ht="15.75" customHeight="1">
      <c r="B366" s="29"/>
    </row>
    <row r="367" ht="15.75" customHeight="1">
      <c r="B367" s="29"/>
    </row>
    <row r="368" ht="15.75" customHeight="1">
      <c r="B368" s="29"/>
    </row>
    <row r="369" ht="15.75" customHeight="1">
      <c r="B369" s="29"/>
    </row>
    <row r="370" ht="15.75" customHeight="1">
      <c r="B370" s="29"/>
    </row>
    <row r="371" ht="15.75" customHeight="1">
      <c r="B371" s="29"/>
    </row>
    <row r="372" ht="15.75" customHeight="1">
      <c r="B372" s="29"/>
    </row>
    <row r="373" ht="15.75" customHeight="1">
      <c r="B373" s="29"/>
    </row>
    <row r="374" ht="15.75" customHeight="1">
      <c r="B374" s="29"/>
    </row>
    <row r="375" ht="15.75" customHeight="1">
      <c r="B375" s="29"/>
    </row>
    <row r="376" ht="15.75" customHeight="1">
      <c r="B376" s="29"/>
    </row>
    <row r="377" ht="15.75" customHeight="1">
      <c r="B377" s="29"/>
    </row>
    <row r="378" ht="15.75" customHeight="1">
      <c r="B378" s="29"/>
    </row>
    <row r="379" ht="15.75" customHeight="1">
      <c r="B379" s="29"/>
    </row>
    <row r="380" ht="15.75" customHeight="1">
      <c r="B380" s="29"/>
    </row>
    <row r="381" ht="15.75" customHeight="1">
      <c r="B381" s="29"/>
    </row>
    <row r="382" ht="15.75" customHeight="1">
      <c r="B382" s="29"/>
    </row>
    <row r="383" ht="15.75" customHeight="1">
      <c r="B383" s="29"/>
    </row>
    <row r="384" ht="15.75" customHeight="1">
      <c r="B384" s="29"/>
    </row>
    <row r="385" ht="15.75" customHeight="1">
      <c r="B385" s="29"/>
    </row>
    <row r="386" ht="15.75" customHeight="1">
      <c r="B386" s="29"/>
    </row>
    <row r="387" ht="15.75" customHeight="1">
      <c r="B387" s="29"/>
    </row>
    <row r="388" ht="15.75" customHeight="1">
      <c r="B388" s="29"/>
    </row>
    <row r="389" ht="15.75" customHeight="1">
      <c r="B389" s="29"/>
    </row>
    <row r="390" ht="15.75" customHeight="1">
      <c r="B390" s="29"/>
    </row>
    <row r="391" ht="15.75" customHeight="1">
      <c r="B391" s="29"/>
    </row>
    <row r="392" ht="15.75" customHeight="1">
      <c r="B392" s="29"/>
    </row>
    <row r="393" ht="15.75" customHeight="1">
      <c r="B393" s="29"/>
    </row>
    <row r="394" ht="15.75" customHeight="1">
      <c r="B394" s="29"/>
    </row>
    <row r="395" ht="15.75" customHeight="1">
      <c r="B395" s="29"/>
    </row>
    <row r="396" ht="15.75" customHeight="1">
      <c r="B396" s="29"/>
    </row>
    <row r="397" ht="15.75" customHeight="1">
      <c r="B397" s="29"/>
    </row>
    <row r="398" ht="15.75" customHeight="1">
      <c r="B398" s="29"/>
    </row>
    <row r="399" ht="15.75" customHeight="1">
      <c r="B399" s="29"/>
    </row>
    <row r="400" ht="15.75" customHeight="1">
      <c r="B400" s="29"/>
    </row>
    <row r="401" ht="15.75" customHeight="1">
      <c r="B401" s="29"/>
    </row>
    <row r="402" ht="15.75" customHeight="1">
      <c r="B402" s="29"/>
    </row>
    <row r="403" ht="15.75" customHeight="1">
      <c r="B403" s="29"/>
    </row>
    <row r="404" ht="15.75" customHeight="1">
      <c r="B404" s="29"/>
    </row>
    <row r="405" ht="15.75" customHeight="1">
      <c r="B405" s="29"/>
    </row>
    <row r="406" ht="15.75" customHeight="1">
      <c r="B406" s="29"/>
    </row>
    <row r="407" ht="15.75" customHeight="1">
      <c r="B407" s="29"/>
    </row>
    <row r="408" ht="15.75" customHeight="1">
      <c r="B408" s="29"/>
    </row>
    <row r="409" ht="15.75" customHeight="1">
      <c r="B409" s="29"/>
    </row>
    <row r="410" ht="15.75" customHeight="1">
      <c r="B410" s="29"/>
    </row>
    <row r="411" ht="15.75" customHeight="1">
      <c r="B411" s="29"/>
    </row>
    <row r="412" ht="15.75" customHeight="1">
      <c r="B412" s="29"/>
    </row>
    <row r="413" ht="15.75" customHeight="1">
      <c r="B413" s="29"/>
    </row>
    <row r="414" ht="15.75" customHeight="1">
      <c r="B414" s="29"/>
    </row>
    <row r="415" ht="15.75" customHeight="1">
      <c r="B415" s="29"/>
    </row>
    <row r="416" ht="15.75" customHeight="1">
      <c r="B416" s="29"/>
    </row>
    <row r="417" ht="15.75" customHeight="1">
      <c r="B417" s="29"/>
    </row>
    <row r="418" ht="15.75" customHeight="1">
      <c r="B418" s="29"/>
    </row>
    <row r="419" ht="15.75" customHeight="1">
      <c r="B419" s="29"/>
    </row>
    <row r="420" ht="15.75" customHeight="1">
      <c r="B420" s="29"/>
    </row>
    <row r="421" ht="15.75" customHeight="1">
      <c r="B421" s="29"/>
    </row>
    <row r="422" ht="15.75" customHeight="1">
      <c r="B422" s="29"/>
    </row>
    <row r="423" ht="15.75" customHeight="1">
      <c r="B423" s="29"/>
    </row>
    <row r="424" ht="15.75" customHeight="1">
      <c r="B424" s="29"/>
    </row>
    <row r="425" ht="15.75" customHeight="1">
      <c r="B425" s="29"/>
    </row>
    <row r="426" ht="15.75" customHeight="1">
      <c r="B426" s="29"/>
    </row>
    <row r="427" ht="15.75" customHeight="1">
      <c r="B427" s="29"/>
    </row>
    <row r="428" ht="15.75" customHeight="1">
      <c r="B428" s="29"/>
    </row>
    <row r="429" ht="15.75" customHeight="1">
      <c r="B429" s="29"/>
    </row>
    <row r="430" ht="15.75" customHeight="1">
      <c r="B430" s="29"/>
    </row>
    <row r="431" ht="15.75" customHeight="1">
      <c r="B431" s="29"/>
    </row>
    <row r="432" ht="15.75" customHeight="1">
      <c r="B432" s="29"/>
    </row>
    <row r="433" ht="15.75" customHeight="1">
      <c r="B433" s="29"/>
    </row>
    <row r="434" ht="15.75" customHeight="1">
      <c r="B434" s="29"/>
    </row>
    <row r="435" ht="15.75" customHeight="1">
      <c r="B435" s="29"/>
    </row>
    <row r="436" ht="15.75" customHeight="1">
      <c r="B436" s="29"/>
    </row>
    <row r="437" ht="15.75" customHeight="1">
      <c r="B437" s="29"/>
    </row>
    <row r="438" ht="15.75" customHeight="1">
      <c r="B438" s="29"/>
    </row>
    <row r="439" ht="15.75" customHeight="1">
      <c r="B439" s="29"/>
    </row>
    <row r="440" ht="15.75" customHeight="1">
      <c r="B440" s="29"/>
    </row>
    <row r="441" ht="15.75" customHeight="1">
      <c r="B441" s="29"/>
    </row>
    <row r="442" ht="15.75" customHeight="1">
      <c r="B442" s="29"/>
    </row>
    <row r="443" ht="15.75" customHeight="1">
      <c r="B443" s="29"/>
    </row>
    <row r="444" ht="15.75" customHeight="1">
      <c r="B444" s="29"/>
    </row>
    <row r="445" ht="15.75" customHeight="1">
      <c r="B445" s="29"/>
    </row>
    <row r="446" ht="15.75" customHeight="1">
      <c r="B446" s="29"/>
    </row>
    <row r="447" ht="15.75" customHeight="1">
      <c r="B447" s="29"/>
    </row>
    <row r="448" ht="15.75" customHeight="1">
      <c r="B448" s="29"/>
    </row>
    <row r="449" ht="15.75" customHeight="1">
      <c r="B449" s="29"/>
    </row>
    <row r="450" ht="15.75" customHeight="1">
      <c r="B450" s="29"/>
    </row>
    <row r="451" ht="15.75" customHeight="1">
      <c r="B451" s="29"/>
    </row>
    <row r="452" ht="15.75" customHeight="1">
      <c r="B452" s="29"/>
    </row>
    <row r="453" ht="15.75" customHeight="1">
      <c r="B453" s="29"/>
    </row>
    <row r="454" ht="15.75" customHeight="1">
      <c r="B454" s="29"/>
    </row>
    <row r="455" ht="15.75" customHeight="1">
      <c r="B455" s="29"/>
    </row>
    <row r="456" ht="15.75" customHeight="1">
      <c r="B456" s="29"/>
    </row>
    <row r="457" ht="15.75" customHeight="1">
      <c r="B457" s="29"/>
    </row>
    <row r="458" ht="15.75" customHeight="1">
      <c r="B458" s="29"/>
    </row>
    <row r="459" ht="15.75" customHeight="1">
      <c r="B459" s="29"/>
    </row>
    <row r="460" ht="15.75" customHeight="1">
      <c r="B460" s="29"/>
    </row>
    <row r="461" ht="15.75" customHeight="1">
      <c r="B461" s="29"/>
    </row>
    <row r="462" ht="15.75" customHeight="1">
      <c r="B462" s="29"/>
    </row>
    <row r="463" ht="15.75" customHeight="1">
      <c r="B463" s="29"/>
    </row>
    <row r="464" ht="15.75" customHeight="1">
      <c r="B464" s="29"/>
    </row>
    <row r="465" ht="15.75" customHeight="1">
      <c r="B465" s="29"/>
    </row>
    <row r="466" ht="15.75" customHeight="1">
      <c r="B466" s="29"/>
    </row>
    <row r="467" ht="15.75" customHeight="1">
      <c r="B467" s="29"/>
    </row>
    <row r="468" ht="15.75" customHeight="1">
      <c r="B468" s="29"/>
    </row>
    <row r="469" ht="15.75" customHeight="1">
      <c r="B469" s="29"/>
    </row>
    <row r="470" ht="15.75" customHeight="1">
      <c r="B470" s="29"/>
    </row>
    <row r="471" ht="15.75" customHeight="1">
      <c r="B471" s="29"/>
    </row>
    <row r="472" ht="15.75" customHeight="1">
      <c r="B472" s="29"/>
    </row>
    <row r="473" ht="15.75" customHeight="1">
      <c r="B473" s="29"/>
    </row>
    <row r="474" ht="15.75" customHeight="1">
      <c r="B474" s="29"/>
    </row>
    <row r="475" ht="15.75" customHeight="1">
      <c r="B475" s="29"/>
    </row>
    <row r="476" ht="15.75" customHeight="1">
      <c r="B476" s="29"/>
    </row>
    <row r="477" ht="15.75" customHeight="1">
      <c r="B477" s="29"/>
    </row>
    <row r="478" ht="15.75" customHeight="1">
      <c r="B478" s="29"/>
    </row>
    <row r="479" ht="15.75" customHeight="1">
      <c r="B479" s="29"/>
    </row>
    <row r="480" ht="15.75" customHeight="1">
      <c r="B480" s="29"/>
    </row>
    <row r="481" ht="15.75" customHeight="1">
      <c r="B481" s="29"/>
    </row>
    <row r="482" ht="15.75" customHeight="1">
      <c r="B482" s="29"/>
    </row>
    <row r="483" ht="15.75" customHeight="1">
      <c r="B483" s="29"/>
    </row>
    <row r="484" ht="15.75" customHeight="1">
      <c r="B484" s="29"/>
    </row>
    <row r="485" ht="15.75" customHeight="1">
      <c r="B485" s="29"/>
    </row>
    <row r="486" ht="15.75" customHeight="1">
      <c r="B486" s="29"/>
    </row>
    <row r="487" ht="15.75" customHeight="1">
      <c r="B487" s="29"/>
    </row>
    <row r="488" ht="15.75" customHeight="1">
      <c r="B488" s="29"/>
    </row>
    <row r="489" ht="15.75" customHeight="1">
      <c r="B489" s="29"/>
    </row>
    <row r="490" ht="15.75" customHeight="1">
      <c r="B490" s="29"/>
    </row>
    <row r="491" ht="15.75" customHeight="1">
      <c r="B491" s="29"/>
    </row>
    <row r="492" ht="15.75" customHeight="1">
      <c r="B492" s="29"/>
    </row>
    <row r="493" ht="15.75" customHeight="1">
      <c r="B493" s="29"/>
    </row>
    <row r="494" ht="15.75" customHeight="1">
      <c r="B494" s="29"/>
    </row>
    <row r="495" ht="15.75" customHeight="1">
      <c r="B495" s="29"/>
    </row>
    <row r="496" ht="15.75" customHeight="1">
      <c r="B496" s="29"/>
    </row>
    <row r="497" ht="15.75" customHeight="1">
      <c r="B497" s="29"/>
    </row>
    <row r="498" ht="15.75" customHeight="1">
      <c r="B498" s="29"/>
    </row>
    <row r="499" ht="15.75" customHeight="1">
      <c r="B499" s="29"/>
    </row>
    <row r="500" ht="15.75" customHeight="1">
      <c r="B500" s="29"/>
    </row>
    <row r="501" ht="15.75" customHeight="1">
      <c r="B501" s="29"/>
    </row>
    <row r="502" ht="15.75" customHeight="1">
      <c r="B502" s="29"/>
    </row>
    <row r="503" ht="15.75" customHeight="1">
      <c r="B503" s="29"/>
    </row>
    <row r="504" ht="15.75" customHeight="1">
      <c r="B504" s="29"/>
    </row>
    <row r="505" ht="15.75" customHeight="1">
      <c r="B505" s="29"/>
    </row>
    <row r="506" ht="15.75" customHeight="1">
      <c r="B506" s="29"/>
    </row>
    <row r="507" ht="15.75" customHeight="1">
      <c r="B507" s="29"/>
    </row>
    <row r="508" ht="15.75" customHeight="1">
      <c r="B508" s="29"/>
    </row>
    <row r="509" ht="15.75" customHeight="1">
      <c r="B509" s="29"/>
    </row>
    <row r="510" ht="15.75" customHeight="1">
      <c r="B510" s="29"/>
    </row>
    <row r="511" ht="15.75" customHeight="1">
      <c r="B511" s="29"/>
    </row>
    <row r="512" ht="15.75" customHeight="1">
      <c r="B512" s="29"/>
    </row>
    <row r="513" ht="15.75" customHeight="1">
      <c r="B513" s="29"/>
    </row>
    <row r="514" ht="15.75" customHeight="1">
      <c r="B514" s="29"/>
    </row>
    <row r="515" ht="15.75" customHeight="1">
      <c r="B515" s="29"/>
    </row>
    <row r="516" ht="15.75" customHeight="1">
      <c r="B516" s="29"/>
    </row>
    <row r="517" ht="15.75" customHeight="1">
      <c r="B517" s="29"/>
    </row>
    <row r="518" ht="15.75" customHeight="1">
      <c r="B518" s="29"/>
    </row>
    <row r="519" ht="15.75" customHeight="1">
      <c r="B519" s="29"/>
    </row>
    <row r="520" ht="15.75" customHeight="1">
      <c r="B520" s="29"/>
    </row>
    <row r="521" ht="15.75" customHeight="1">
      <c r="B521" s="29"/>
    </row>
    <row r="522" ht="15.75" customHeight="1">
      <c r="B522" s="29"/>
    </row>
    <row r="523" ht="15.75" customHeight="1">
      <c r="B523" s="29"/>
    </row>
    <row r="524" ht="15.75" customHeight="1">
      <c r="B524" s="29"/>
    </row>
    <row r="525" ht="15.75" customHeight="1">
      <c r="B525" s="29"/>
    </row>
    <row r="526" ht="15.75" customHeight="1">
      <c r="B526" s="29"/>
    </row>
    <row r="527" ht="15.75" customHeight="1">
      <c r="B527" s="29"/>
    </row>
    <row r="528" ht="15.75" customHeight="1">
      <c r="B528" s="29"/>
    </row>
    <row r="529" ht="15.75" customHeight="1">
      <c r="B529" s="29"/>
    </row>
    <row r="530" ht="15.75" customHeight="1">
      <c r="B530" s="29"/>
    </row>
    <row r="531" ht="15.75" customHeight="1">
      <c r="B531" s="29"/>
    </row>
    <row r="532" ht="15.75" customHeight="1">
      <c r="B532" s="29"/>
    </row>
    <row r="533" ht="15.75" customHeight="1">
      <c r="B533" s="29"/>
    </row>
    <row r="534" ht="15.75" customHeight="1">
      <c r="B534" s="29"/>
    </row>
    <row r="535" ht="15.75" customHeight="1">
      <c r="B535" s="29"/>
    </row>
    <row r="536" ht="15.75" customHeight="1">
      <c r="B536" s="29"/>
    </row>
    <row r="537" ht="15.75" customHeight="1">
      <c r="B537" s="29"/>
    </row>
    <row r="538" ht="15.75" customHeight="1">
      <c r="B538" s="29"/>
    </row>
    <row r="539" ht="15.75" customHeight="1">
      <c r="B539" s="29"/>
    </row>
    <row r="540" ht="15.75" customHeight="1">
      <c r="B540" s="29"/>
    </row>
    <row r="541" ht="15.75" customHeight="1">
      <c r="B541" s="29"/>
    </row>
    <row r="542" ht="15.75" customHeight="1">
      <c r="B542" s="29"/>
    </row>
    <row r="543" ht="15.75" customHeight="1">
      <c r="B543" s="29"/>
    </row>
    <row r="544" ht="15.75" customHeight="1">
      <c r="B544" s="29"/>
    </row>
    <row r="545" ht="15.75" customHeight="1">
      <c r="B545" s="29"/>
    </row>
    <row r="546" ht="15.75" customHeight="1">
      <c r="B546" s="29"/>
    </row>
    <row r="547" ht="15.75" customHeight="1">
      <c r="B547" s="29"/>
    </row>
    <row r="548" ht="15.75" customHeight="1">
      <c r="B548" s="29"/>
    </row>
    <row r="549" ht="15.75" customHeight="1">
      <c r="B549" s="29"/>
    </row>
    <row r="550" ht="15.75" customHeight="1">
      <c r="B550" s="29"/>
    </row>
    <row r="551" ht="15.75" customHeight="1">
      <c r="B551" s="29"/>
    </row>
    <row r="552" ht="15.75" customHeight="1">
      <c r="B552" s="29"/>
    </row>
    <row r="553" ht="15.75" customHeight="1">
      <c r="B553" s="29"/>
    </row>
    <row r="554" ht="15.75" customHeight="1">
      <c r="B554" s="29"/>
    </row>
    <row r="555" ht="15.75" customHeight="1">
      <c r="B555" s="29"/>
    </row>
    <row r="556" ht="15.75" customHeight="1">
      <c r="B556" s="29"/>
    </row>
    <row r="557" ht="15.75" customHeight="1">
      <c r="B557" s="29"/>
    </row>
    <row r="558" ht="15.75" customHeight="1">
      <c r="B558" s="29"/>
    </row>
    <row r="559" ht="15.75" customHeight="1">
      <c r="B559" s="29"/>
    </row>
    <row r="560" ht="15.75" customHeight="1">
      <c r="B560" s="29"/>
    </row>
    <row r="561" ht="15.75" customHeight="1">
      <c r="B561" s="29"/>
    </row>
    <row r="562" ht="15.75" customHeight="1">
      <c r="B562" s="29"/>
    </row>
    <row r="563" ht="15.75" customHeight="1">
      <c r="B563" s="29"/>
    </row>
    <row r="564" ht="15.75" customHeight="1">
      <c r="B564" s="29"/>
    </row>
    <row r="565" ht="15.75" customHeight="1">
      <c r="B565" s="29"/>
    </row>
    <row r="566" ht="15.75" customHeight="1">
      <c r="B566" s="29"/>
    </row>
    <row r="567" ht="15.75" customHeight="1">
      <c r="B567" s="29"/>
    </row>
    <row r="568" ht="15.75" customHeight="1">
      <c r="B568" s="29"/>
    </row>
    <row r="569" ht="15.75" customHeight="1">
      <c r="B569" s="29"/>
    </row>
    <row r="570" ht="15.75" customHeight="1">
      <c r="B570" s="29"/>
    </row>
    <row r="571" ht="15.75" customHeight="1">
      <c r="B571" s="29"/>
    </row>
    <row r="572" ht="15.75" customHeight="1">
      <c r="B572" s="29"/>
    </row>
    <row r="573" ht="15.75" customHeight="1">
      <c r="B573" s="29"/>
    </row>
    <row r="574" ht="15.75" customHeight="1">
      <c r="B574" s="29"/>
    </row>
    <row r="575" ht="15.75" customHeight="1">
      <c r="B575" s="29"/>
    </row>
    <row r="576" ht="15.75" customHeight="1">
      <c r="B576" s="29"/>
    </row>
    <row r="577" ht="15.75" customHeight="1">
      <c r="B577" s="29"/>
    </row>
    <row r="578" ht="15.75" customHeight="1">
      <c r="B578" s="29"/>
    </row>
    <row r="579" ht="15.75" customHeight="1">
      <c r="B579" s="29"/>
    </row>
    <row r="580" ht="15.75" customHeight="1">
      <c r="B580" s="29"/>
    </row>
    <row r="581" ht="15.75" customHeight="1">
      <c r="B581" s="29"/>
    </row>
    <row r="582" ht="15.75" customHeight="1">
      <c r="B582" s="29"/>
    </row>
    <row r="583" ht="15.75" customHeight="1">
      <c r="B583" s="29"/>
    </row>
    <row r="584" ht="15.75" customHeight="1">
      <c r="B584" s="29"/>
    </row>
    <row r="585" ht="15.75" customHeight="1">
      <c r="B585" s="29"/>
    </row>
    <row r="586" ht="15.75" customHeight="1">
      <c r="B586" s="29"/>
    </row>
    <row r="587" ht="15.75" customHeight="1">
      <c r="B587" s="29"/>
    </row>
    <row r="588" ht="15.75" customHeight="1">
      <c r="B588" s="29"/>
    </row>
    <row r="589" ht="15.75" customHeight="1">
      <c r="B589" s="29"/>
    </row>
    <row r="590" ht="15.75" customHeight="1">
      <c r="B590" s="29"/>
    </row>
    <row r="591" ht="15.75" customHeight="1">
      <c r="B591" s="29"/>
    </row>
    <row r="592" ht="15.75" customHeight="1">
      <c r="B592" s="29"/>
    </row>
    <row r="593" ht="15.75" customHeight="1">
      <c r="B593" s="29"/>
    </row>
    <row r="594" ht="15.75" customHeight="1">
      <c r="B594" s="29"/>
    </row>
    <row r="595" ht="15.75" customHeight="1">
      <c r="B595" s="29"/>
    </row>
    <row r="596" ht="15.75" customHeight="1">
      <c r="B596" s="29"/>
    </row>
    <row r="597" ht="15.75" customHeight="1">
      <c r="B597" s="29"/>
    </row>
    <row r="598" ht="15.75" customHeight="1">
      <c r="B598" s="29"/>
    </row>
    <row r="599" ht="15.75" customHeight="1">
      <c r="B599" s="29"/>
    </row>
    <row r="600" ht="15.75" customHeight="1">
      <c r="B600" s="29"/>
    </row>
    <row r="601" ht="15.75" customHeight="1">
      <c r="B601" s="29"/>
    </row>
    <row r="602" ht="15.75" customHeight="1">
      <c r="B602" s="29"/>
    </row>
    <row r="603" ht="15.75" customHeight="1">
      <c r="B603" s="29"/>
    </row>
    <row r="604" ht="15.75" customHeight="1">
      <c r="B604" s="29"/>
    </row>
    <row r="605" ht="15.75" customHeight="1">
      <c r="B605" s="29"/>
    </row>
    <row r="606" ht="15.75" customHeight="1">
      <c r="B606" s="29"/>
    </row>
    <row r="607" ht="15.75" customHeight="1">
      <c r="B607" s="29"/>
    </row>
    <row r="608" ht="15.75" customHeight="1">
      <c r="B608" s="29"/>
    </row>
    <row r="609" ht="15.75" customHeight="1">
      <c r="B609" s="29"/>
    </row>
    <row r="610" ht="15.75" customHeight="1">
      <c r="B610" s="29"/>
    </row>
    <row r="611" ht="15.75" customHeight="1">
      <c r="B611" s="29"/>
    </row>
    <row r="612" ht="15.75" customHeight="1">
      <c r="B612" s="29"/>
    </row>
    <row r="613" ht="15.75" customHeight="1">
      <c r="B613" s="29"/>
    </row>
    <row r="614" ht="15.75" customHeight="1">
      <c r="B614" s="29"/>
    </row>
    <row r="615" ht="15.75" customHeight="1">
      <c r="B615" s="29"/>
    </row>
    <row r="616" ht="15.75" customHeight="1">
      <c r="B616" s="29"/>
    </row>
    <row r="617" ht="15.75" customHeight="1">
      <c r="B617" s="29"/>
    </row>
    <row r="618" ht="15.75" customHeight="1">
      <c r="B618" s="29"/>
    </row>
    <row r="619" ht="15.75" customHeight="1">
      <c r="B619" s="29"/>
    </row>
    <row r="620" ht="15.75" customHeight="1">
      <c r="B620" s="29"/>
    </row>
    <row r="621" ht="15.75" customHeight="1">
      <c r="B621" s="29"/>
    </row>
    <row r="622" ht="15.75" customHeight="1">
      <c r="B622" s="29"/>
    </row>
    <row r="623" ht="15.75" customHeight="1">
      <c r="B623" s="29"/>
    </row>
    <row r="624" ht="15.75" customHeight="1">
      <c r="B624" s="29"/>
    </row>
    <row r="625" ht="15.75" customHeight="1">
      <c r="B625" s="29"/>
    </row>
    <row r="626" ht="15.75" customHeight="1">
      <c r="B626" s="29"/>
    </row>
    <row r="627" ht="15.75" customHeight="1">
      <c r="B627" s="29"/>
    </row>
    <row r="628" ht="15.75" customHeight="1">
      <c r="B628" s="29"/>
    </row>
    <row r="629" ht="15.75" customHeight="1">
      <c r="B629" s="29"/>
    </row>
    <row r="630" ht="15.75" customHeight="1">
      <c r="B630" s="29"/>
    </row>
    <row r="631" ht="15.75" customHeight="1">
      <c r="B631" s="29"/>
    </row>
    <row r="632" ht="15.75" customHeight="1">
      <c r="B632" s="29"/>
    </row>
    <row r="633" ht="15.75" customHeight="1">
      <c r="B633" s="29"/>
    </row>
    <row r="634" ht="15.75" customHeight="1">
      <c r="B634" s="29"/>
    </row>
    <row r="635" ht="15.75" customHeight="1">
      <c r="B635" s="29"/>
    </row>
    <row r="636" ht="15.75" customHeight="1">
      <c r="B636" s="29"/>
    </row>
    <row r="637" ht="15.75" customHeight="1">
      <c r="B637" s="29"/>
    </row>
    <row r="638" ht="15.75" customHeight="1">
      <c r="B638" s="29"/>
    </row>
    <row r="639" ht="15.75" customHeight="1">
      <c r="B639" s="29"/>
    </row>
    <row r="640" ht="15.75" customHeight="1">
      <c r="B640" s="29"/>
    </row>
    <row r="641" ht="15.75" customHeight="1">
      <c r="B641" s="29"/>
    </row>
    <row r="642" ht="15.75" customHeight="1">
      <c r="B642" s="29"/>
    </row>
    <row r="643" ht="15.75" customHeight="1">
      <c r="B643" s="29"/>
    </row>
    <row r="644" ht="15.75" customHeight="1">
      <c r="B644" s="29"/>
    </row>
    <row r="645" ht="15.75" customHeight="1">
      <c r="B645" s="29"/>
    </row>
    <row r="646" ht="15.75" customHeight="1">
      <c r="B646" s="29"/>
    </row>
    <row r="647" ht="15.75" customHeight="1">
      <c r="B647" s="29"/>
    </row>
    <row r="648" ht="15.75" customHeight="1">
      <c r="B648" s="29"/>
    </row>
    <row r="649" ht="15.75" customHeight="1">
      <c r="B649" s="29"/>
    </row>
    <row r="650" ht="15.75" customHeight="1">
      <c r="B650" s="29"/>
    </row>
    <row r="651" ht="15.75" customHeight="1">
      <c r="B651" s="29"/>
    </row>
    <row r="652" ht="15.75" customHeight="1">
      <c r="B652" s="29"/>
    </row>
    <row r="653" ht="15.75" customHeight="1">
      <c r="B653" s="29"/>
    </row>
    <row r="654" ht="15.75" customHeight="1">
      <c r="B654" s="29"/>
    </row>
    <row r="655" ht="15.75" customHeight="1">
      <c r="B655" s="29"/>
    </row>
    <row r="656" ht="15.75" customHeight="1">
      <c r="B656" s="29"/>
    </row>
    <row r="657" ht="15.75" customHeight="1">
      <c r="B657" s="29"/>
    </row>
    <row r="658" ht="15.75" customHeight="1">
      <c r="B658" s="29"/>
    </row>
    <row r="659" ht="15.75" customHeight="1">
      <c r="B659" s="29"/>
    </row>
    <row r="660" ht="15.75" customHeight="1">
      <c r="B660" s="29"/>
    </row>
    <row r="661" ht="15.75" customHeight="1">
      <c r="B661" s="29"/>
    </row>
    <row r="662" ht="15.75" customHeight="1">
      <c r="B662" s="29"/>
    </row>
    <row r="663" ht="15.75" customHeight="1">
      <c r="B663" s="29"/>
    </row>
    <row r="664" ht="15.75" customHeight="1">
      <c r="B664" s="29"/>
    </row>
    <row r="665" ht="15.75" customHeight="1">
      <c r="B665" s="29"/>
    </row>
    <row r="666" ht="15.75" customHeight="1">
      <c r="B666" s="29"/>
    </row>
    <row r="667" ht="15.75" customHeight="1">
      <c r="B667" s="29"/>
    </row>
    <row r="668" ht="15.75" customHeight="1">
      <c r="B668" s="29"/>
    </row>
    <row r="669" ht="15.75" customHeight="1">
      <c r="B669" s="29"/>
    </row>
    <row r="670" ht="15.75" customHeight="1">
      <c r="B670" s="29"/>
    </row>
    <row r="671" ht="15.75" customHeight="1">
      <c r="B671" s="29"/>
    </row>
    <row r="672" ht="15.75" customHeight="1">
      <c r="B672" s="29"/>
    </row>
    <row r="673" ht="15.75" customHeight="1">
      <c r="B673" s="29"/>
    </row>
    <row r="674" ht="15.75" customHeight="1">
      <c r="B674" s="29"/>
    </row>
    <row r="675" ht="15.75" customHeight="1">
      <c r="B675" s="29"/>
    </row>
    <row r="676" ht="15.75" customHeight="1">
      <c r="B676" s="29"/>
    </row>
    <row r="677" ht="15.75" customHeight="1">
      <c r="B677" s="29"/>
    </row>
    <row r="678" ht="15.75" customHeight="1">
      <c r="B678" s="29"/>
    </row>
    <row r="679" ht="15.75" customHeight="1">
      <c r="B679" s="29"/>
    </row>
    <row r="680" ht="15.75" customHeight="1">
      <c r="B680" s="29"/>
    </row>
    <row r="681" ht="15.75" customHeight="1">
      <c r="B681" s="29"/>
    </row>
    <row r="682" ht="15.75" customHeight="1">
      <c r="B682" s="29"/>
    </row>
    <row r="683" ht="15.75" customHeight="1">
      <c r="B683" s="29"/>
    </row>
    <row r="684" ht="15.75" customHeight="1">
      <c r="B684" s="29"/>
    </row>
    <row r="685" ht="15.75" customHeight="1">
      <c r="B685" s="29"/>
    </row>
    <row r="686" ht="15.75" customHeight="1">
      <c r="B686" s="29"/>
    </row>
    <row r="687" ht="15.75" customHeight="1">
      <c r="B687" s="29"/>
    </row>
    <row r="688" ht="15.75" customHeight="1">
      <c r="B688" s="29"/>
    </row>
    <row r="689" ht="15.75" customHeight="1">
      <c r="B689" s="29"/>
    </row>
    <row r="690" ht="15.75" customHeight="1">
      <c r="B690" s="29"/>
    </row>
    <row r="691" ht="15.75" customHeight="1">
      <c r="B691" s="29"/>
    </row>
    <row r="692" ht="15.75" customHeight="1">
      <c r="B692" s="29"/>
    </row>
    <row r="693" ht="15.75" customHeight="1">
      <c r="B693" s="29"/>
    </row>
    <row r="694" ht="15.75" customHeight="1">
      <c r="B694" s="29"/>
    </row>
    <row r="695" ht="15.75" customHeight="1">
      <c r="B695" s="29"/>
    </row>
    <row r="696" ht="15.75" customHeight="1">
      <c r="B696" s="29"/>
    </row>
    <row r="697" ht="15.75" customHeight="1">
      <c r="B697" s="29"/>
    </row>
    <row r="698" ht="15.75" customHeight="1">
      <c r="B698" s="29"/>
    </row>
    <row r="699" ht="15.75" customHeight="1">
      <c r="B699" s="29"/>
    </row>
    <row r="700" ht="15.75" customHeight="1">
      <c r="B700" s="29"/>
    </row>
    <row r="701" ht="15.75" customHeight="1">
      <c r="B701" s="29"/>
    </row>
    <row r="702" ht="15.75" customHeight="1">
      <c r="B702" s="29"/>
    </row>
    <row r="703" ht="15.75" customHeight="1">
      <c r="B703" s="29"/>
    </row>
    <row r="704" ht="15.75" customHeight="1">
      <c r="B704" s="29"/>
    </row>
    <row r="705" ht="15.75" customHeight="1">
      <c r="B705" s="29"/>
    </row>
    <row r="706" ht="15.75" customHeight="1">
      <c r="B706" s="29"/>
    </row>
    <row r="707" ht="15.75" customHeight="1">
      <c r="B707" s="29"/>
    </row>
    <row r="708" ht="15.75" customHeight="1">
      <c r="B708" s="29"/>
    </row>
    <row r="709" ht="15.75" customHeight="1">
      <c r="B709" s="29"/>
    </row>
    <row r="710" ht="15.75" customHeight="1">
      <c r="B710" s="29"/>
    </row>
    <row r="711" ht="15.75" customHeight="1">
      <c r="B711" s="29"/>
    </row>
    <row r="712" ht="15.75" customHeight="1">
      <c r="B712" s="29"/>
    </row>
    <row r="713" ht="15.75" customHeight="1">
      <c r="B713" s="29"/>
    </row>
    <row r="714" ht="15.75" customHeight="1">
      <c r="B714" s="29"/>
    </row>
    <row r="715" ht="15.75" customHeight="1">
      <c r="B715" s="29"/>
    </row>
    <row r="716" ht="15.75" customHeight="1">
      <c r="B716" s="29"/>
    </row>
    <row r="717" ht="15.75" customHeight="1">
      <c r="B717" s="29"/>
    </row>
    <row r="718" ht="15.75" customHeight="1">
      <c r="B718" s="29"/>
    </row>
    <row r="719" ht="15.75" customHeight="1">
      <c r="B719" s="29"/>
    </row>
    <row r="720" ht="15.75" customHeight="1">
      <c r="B720" s="29"/>
    </row>
    <row r="721" ht="15.75" customHeight="1">
      <c r="B721" s="29"/>
    </row>
    <row r="722" ht="15.75" customHeight="1">
      <c r="B722" s="29"/>
    </row>
    <row r="723" ht="15.75" customHeight="1">
      <c r="B723" s="29"/>
    </row>
    <row r="724" ht="15.75" customHeight="1">
      <c r="B724" s="29"/>
    </row>
    <row r="725" ht="15.75" customHeight="1">
      <c r="B725" s="29"/>
    </row>
    <row r="726" ht="15.75" customHeight="1">
      <c r="B726" s="29"/>
    </row>
    <row r="727" ht="15.75" customHeight="1">
      <c r="B727" s="29"/>
    </row>
    <row r="728" ht="15.75" customHeight="1">
      <c r="B728" s="29"/>
    </row>
    <row r="729" ht="15.75" customHeight="1">
      <c r="B729" s="29"/>
    </row>
    <row r="730" ht="15.75" customHeight="1">
      <c r="B730" s="29"/>
    </row>
    <row r="731" ht="15.75" customHeight="1">
      <c r="B731" s="29"/>
    </row>
    <row r="732" ht="15.75" customHeight="1">
      <c r="B732" s="29"/>
    </row>
    <row r="733" ht="15.75" customHeight="1">
      <c r="B733" s="29"/>
    </row>
    <row r="734" ht="15.75" customHeight="1">
      <c r="B734" s="29"/>
    </row>
    <row r="735" ht="15.75" customHeight="1">
      <c r="B735" s="29"/>
    </row>
    <row r="736" ht="15.75" customHeight="1">
      <c r="B736" s="29"/>
    </row>
    <row r="737" ht="15.75" customHeight="1">
      <c r="B737" s="29"/>
    </row>
    <row r="738" ht="15.75" customHeight="1">
      <c r="B738" s="29"/>
    </row>
    <row r="739" ht="15.75" customHeight="1">
      <c r="B739" s="29"/>
    </row>
    <row r="740" ht="15.75" customHeight="1">
      <c r="B740" s="29"/>
    </row>
    <row r="741" ht="15.75" customHeight="1">
      <c r="B741" s="29"/>
    </row>
    <row r="742" ht="15.75" customHeight="1">
      <c r="B742" s="29"/>
    </row>
    <row r="743" ht="15.75" customHeight="1">
      <c r="B743" s="29"/>
    </row>
    <row r="744" ht="15.75" customHeight="1">
      <c r="B744" s="29"/>
    </row>
    <row r="745" ht="15.75" customHeight="1">
      <c r="B745" s="29"/>
    </row>
    <row r="746" ht="15.75" customHeight="1">
      <c r="B746" s="29"/>
    </row>
    <row r="747" ht="15.75" customHeight="1">
      <c r="B747" s="29"/>
    </row>
    <row r="748" ht="15.75" customHeight="1">
      <c r="B748" s="29"/>
    </row>
    <row r="749" ht="15.75" customHeight="1">
      <c r="B749" s="29"/>
    </row>
    <row r="750" ht="15.75" customHeight="1">
      <c r="B750" s="29"/>
    </row>
    <row r="751" ht="15.75" customHeight="1">
      <c r="B751" s="29"/>
    </row>
    <row r="752" ht="15.75" customHeight="1">
      <c r="B752" s="29"/>
    </row>
    <row r="753" ht="15.75" customHeight="1">
      <c r="B753" s="29"/>
    </row>
    <row r="754" ht="15.75" customHeight="1">
      <c r="B754" s="29"/>
    </row>
    <row r="755" ht="15.75" customHeight="1">
      <c r="B755" s="29"/>
    </row>
    <row r="756" ht="15.75" customHeight="1">
      <c r="B756" s="29"/>
    </row>
    <row r="757" ht="15.75" customHeight="1">
      <c r="B757" s="29"/>
    </row>
    <row r="758" ht="15.75" customHeight="1">
      <c r="B758" s="29"/>
    </row>
    <row r="759" ht="15.75" customHeight="1">
      <c r="B759" s="29"/>
    </row>
    <row r="760" ht="15.75" customHeight="1">
      <c r="B760" s="29"/>
    </row>
    <row r="761" ht="15.75" customHeight="1">
      <c r="B761" s="29"/>
    </row>
    <row r="762" ht="15.75" customHeight="1">
      <c r="B762" s="29"/>
    </row>
    <row r="763" ht="15.75" customHeight="1">
      <c r="B763" s="29"/>
    </row>
    <row r="764" ht="15.75" customHeight="1">
      <c r="B764" s="29"/>
    </row>
    <row r="765" ht="15.75" customHeight="1">
      <c r="B765" s="29"/>
    </row>
    <row r="766" ht="15.75" customHeight="1">
      <c r="B766" s="29"/>
    </row>
    <row r="767" ht="15.75" customHeight="1">
      <c r="B767" s="29"/>
    </row>
    <row r="768" ht="15.75" customHeight="1">
      <c r="B768" s="29"/>
    </row>
    <row r="769" ht="15.75" customHeight="1">
      <c r="B769" s="29"/>
    </row>
    <row r="770" ht="15.75" customHeight="1">
      <c r="B770" s="29"/>
    </row>
    <row r="771" ht="15.75" customHeight="1">
      <c r="B771" s="29"/>
    </row>
    <row r="772" ht="15.75" customHeight="1">
      <c r="B772" s="29"/>
    </row>
    <row r="773" ht="15.75" customHeight="1">
      <c r="B773" s="29"/>
    </row>
    <row r="774" ht="15.75" customHeight="1">
      <c r="B774" s="29"/>
    </row>
    <row r="775" ht="15.75" customHeight="1">
      <c r="B775" s="29"/>
    </row>
    <row r="776" ht="15.75" customHeight="1">
      <c r="B776" s="29"/>
    </row>
    <row r="777" ht="15.75" customHeight="1">
      <c r="B777" s="29"/>
    </row>
    <row r="778" ht="15.75" customHeight="1">
      <c r="B778" s="29"/>
    </row>
    <row r="779" ht="15.75" customHeight="1">
      <c r="B779" s="29"/>
    </row>
    <row r="780" ht="15.75" customHeight="1">
      <c r="B780" s="29"/>
    </row>
    <row r="781" ht="15.75" customHeight="1">
      <c r="B781" s="29"/>
    </row>
    <row r="782" ht="15.75" customHeight="1">
      <c r="B782" s="29"/>
    </row>
    <row r="783" ht="15.75" customHeight="1">
      <c r="B783" s="29"/>
    </row>
    <row r="784" ht="15.75" customHeight="1">
      <c r="B784" s="29"/>
    </row>
    <row r="785" ht="15.75" customHeight="1">
      <c r="B785" s="29"/>
    </row>
    <row r="786" ht="15.75" customHeight="1">
      <c r="B786" s="29"/>
    </row>
    <row r="787" ht="15.75" customHeight="1">
      <c r="B787" s="29"/>
    </row>
    <row r="788" ht="15.75" customHeight="1">
      <c r="B788" s="29"/>
    </row>
    <row r="789" ht="15.75" customHeight="1">
      <c r="B789" s="29"/>
    </row>
    <row r="790" ht="15.75" customHeight="1">
      <c r="B790" s="29"/>
    </row>
    <row r="791" ht="15.75" customHeight="1">
      <c r="B791" s="29"/>
    </row>
    <row r="792" ht="15.75" customHeight="1">
      <c r="B792" s="29"/>
    </row>
    <row r="793" ht="15.75" customHeight="1">
      <c r="B793" s="29"/>
    </row>
    <row r="794" ht="15.75" customHeight="1">
      <c r="B794" s="29"/>
    </row>
    <row r="795" ht="15.75" customHeight="1">
      <c r="B795" s="29"/>
    </row>
    <row r="796" ht="15.75" customHeight="1">
      <c r="B796" s="29"/>
    </row>
    <row r="797" ht="15.75" customHeight="1">
      <c r="B797" s="29"/>
    </row>
    <row r="798" ht="15.75" customHeight="1">
      <c r="B798" s="29"/>
    </row>
    <row r="799" ht="15.75" customHeight="1">
      <c r="B799" s="29"/>
    </row>
    <row r="800" ht="15.75" customHeight="1">
      <c r="B800" s="29"/>
    </row>
    <row r="801" ht="15.75" customHeight="1">
      <c r="B801" s="29"/>
    </row>
    <row r="802" ht="15.75" customHeight="1">
      <c r="B802" s="29"/>
    </row>
    <row r="803" ht="15.75" customHeight="1">
      <c r="B803" s="29"/>
    </row>
    <row r="804" ht="15.75" customHeight="1">
      <c r="B804" s="29"/>
    </row>
    <row r="805" ht="15.75" customHeight="1">
      <c r="B805" s="29"/>
    </row>
    <row r="806" ht="15.75" customHeight="1">
      <c r="B806" s="29"/>
    </row>
    <row r="807" ht="15.75" customHeight="1">
      <c r="B807" s="29"/>
    </row>
    <row r="808" ht="15.75" customHeight="1">
      <c r="B808" s="29"/>
    </row>
    <row r="809" ht="15.75" customHeight="1">
      <c r="B809" s="29"/>
    </row>
    <row r="810" ht="15.75" customHeight="1">
      <c r="B810" s="29"/>
    </row>
    <row r="811" ht="15.75" customHeight="1">
      <c r="B811" s="29"/>
    </row>
    <row r="812" ht="15.75" customHeight="1">
      <c r="B812" s="29"/>
    </row>
    <row r="813" ht="15.75" customHeight="1">
      <c r="B813" s="29"/>
    </row>
    <row r="814" ht="15.75" customHeight="1">
      <c r="B814" s="29"/>
    </row>
    <row r="815" ht="15.75" customHeight="1">
      <c r="B815" s="29"/>
    </row>
    <row r="816" ht="15.75" customHeight="1">
      <c r="B816" s="29"/>
    </row>
    <row r="817" ht="15.75" customHeight="1">
      <c r="B817" s="29"/>
    </row>
    <row r="818" ht="15.75" customHeight="1">
      <c r="B818" s="29"/>
    </row>
    <row r="819" ht="15.75" customHeight="1">
      <c r="B819" s="29"/>
    </row>
    <row r="820" ht="15.75" customHeight="1">
      <c r="B820" s="29"/>
    </row>
    <row r="821" ht="15.75" customHeight="1">
      <c r="B821" s="29"/>
    </row>
    <row r="822" ht="15.75" customHeight="1">
      <c r="B822" s="29"/>
    </row>
    <row r="823" ht="15.75" customHeight="1">
      <c r="B823" s="29"/>
    </row>
    <row r="824" ht="15.75" customHeight="1">
      <c r="B824" s="29"/>
    </row>
    <row r="825" ht="15.75" customHeight="1">
      <c r="B825" s="29"/>
    </row>
    <row r="826" ht="15.75" customHeight="1">
      <c r="B826" s="29"/>
    </row>
    <row r="827" ht="15.75" customHeight="1">
      <c r="B827" s="29"/>
    </row>
    <row r="828" ht="15.75" customHeight="1">
      <c r="B828" s="29"/>
    </row>
    <row r="829" ht="15.75" customHeight="1">
      <c r="B829" s="29"/>
    </row>
    <row r="830" ht="15.75" customHeight="1">
      <c r="B830" s="29"/>
    </row>
    <row r="831" ht="15.75" customHeight="1">
      <c r="B831" s="29"/>
    </row>
    <row r="832" ht="15.75" customHeight="1">
      <c r="B832" s="29"/>
    </row>
    <row r="833" ht="15.75" customHeight="1">
      <c r="B833" s="29"/>
    </row>
    <row r="834" ht="15.75" customHeight="1">
      <c r="B834" s="29"/>
    </row>
    <row r="835" ht="15.75" customHeight="1">
      <c r="B835" s="29"/>
    </row>
    <row r="836" ht="15.75" customHeight="1">
      <c r="B836" s="29"/>
    </row>
    <row r="837" ht="15.75" customHeight="1">
      <c r="B837" s="29"/>
    </row>
    <row r="838" ht="15.75" customHeight="1">
      <c r="B838" s="29"/>
    </row>
    <row r="839" ht="15.75" customHeight="1">
      <c r="B839" s="29"/>
    </row>
    <row r="840" ht="15.75" customHeight="1">
      <c r="B840" s="29"/>
    </row>
    <row r="841" ht="15.75" customHeight="1">
      <c r="B841" s="29"/>
    </row>
    <row r="842" ht="15.75" customHeight="1">
      <c r="B842" s="29"/>
    </row>
    <row r="843" ht="15.75" customHeight="1">
      <c r="B843" s="29"/>
    </row>
    <row r="844" ht="15.75" customHeight="1">
      <c r="B844" s="29"/>
    </row>
    <row r="845" ht="15.75" customHeight="1">
      <c r="B845" s="29"/>
    </row>
    <row r="846" ht="15.75" customHeight="1">
      <c r="B846" s="29"/>
    </row>
    <row r="847" ht="15.75" customHeight="1">
      <c r="B847" s="29"/>
    </row>
    <row r="848" ht="15.75" customHeight="1">
      <c r="B848" s="29"/>
    </row>
    <row r="849" ht="15.75" customHeight="1">
      <c r="B849" s="29"/>
    </row>
    <row r="850" ht="15.75" customHeight="1">
      <c r="B850" s="29"/>
    </row>
    <row r="851" ht="15.75" customHeight="1">
      <c r="B851" s="29"/>
    </row>
    <row r="852" ht="15.75" customHeight="1">
      <c r="B852" s="29"/>
    </row>
    <row r="853" ht="15.75" customHeight="1">
      <c r="B853" s="29"/>
    </row>
    <row r="854" ht="15.75" customHeight="1">
      <c r="B854" s="29"/>
    </row>
    <row r="855" ht="15.75" customHeight="1">
      <c r="B855" s="29"/>
    </row>
    <row r="856" ht="15.75" customHeight="1">
      <c r="B856" s="29"/>
    </row>
    <row r="857" ht="15.75" customHeight="1">
      <c r="B857" s="29"/>
    </row>
    <row r="858" ht="15.75" customHeight="1">
      <c r="B858" s="29"/>
    </row>
    <row r="859" ht="15.75" customHeight="1">
      <c r="B859" s="29"/>
    </row>
    <row r="860" ht="15.75" customHeight="1">
      <c r="B860" s="29"/>
    </row>
    <row r="861" ht="15.75" customHeight="1">
      <c r="B861" s="29"/>
    </row>
    <row r="862" ht="15.75" customHeight="1">
      <c r="B862" s="29"/>
    </row>
    <row r="863" ht="15.75" customHeight="1">
      <c r="B863" s="29"/>
    </row>
    <row r="864" ht="15.75" customHeight="1">
      <c r="B864" s="29"/>
    </row>
    <row r="865" ht="15.75" customHeight="1">
      <c r="B865" s="29"/>
    </row>
    <row r="866" ht="15.75" customHeight="1">
      <c r="B866" s="29"/>
    </row>
    <row r="867" ht="15.75" customHeight="1">
      <c r="B867" s="29"/>
    </row>
    <row r="868" ht="15.75" customHeight="1">
      <c r="B868" s="29"/>
    </row>
    <row r="869" ht="15.75" customHeight="1">
      <c r="B869" s="29"/>
    </row>
    <row r="870" ht="15.75" customHeight="1">
      <c r="B870" s="29"/>
    </row>
    <row r="871" ht="15.75" customHeight="1">
      <c r="B871" s="29"/>
    </row>
    <row r="872" ht="15.75" customHeight="1">
      <c r="B872" s="29"/>
    </row>
    <row r="873" ht="15.75" customHeight="1">
      <c r="B873" s="29"/>
    </row>
    <row r="874" ht="15.75" customHeight="1">
      <c r="B874" s="29"/>
    </row>
    <row r="875" ht="15.75" customHeight="1">
      <c r="B875" s="29"/>
    </row>
    <row r="876" ht="15.75" customHeight="1">
      <c r="B876" s="29"/>
    </row>
    <row r="877" ht="15.75" customHeight="1">
      <c r="B877" s="29"/>
    </row>
    <row r="878" ht="15.75" customHeight="1">
      <c r="B878" s="29"/>
    </row>
    <row r="879" ht="15.75" customHeight="1">
      <c r="B879" s="29"/>
    </row>
    <row r="880" ht="15.75" customHeight="1">
      <c r="B880" s="29"/>
    </row>
    <row r="881" ht="15.75" customHeight="1">
      <c r="B881" s="29"/>
    </row>
    <row r="882" ht="15.75" customHeight="1">
      <c r="B882" s="29"/>
    </row>
    <row r="883" ht="15.75" customHeight="1">
      <c r="B883" s="29"/>
    </row>
    <row r="884" ht="15.75" customHeight="1">
      <c r="B884" s="29"/>
    </row>
    <row r="885" ht="15.75" customHeight="1">
      <c r="B885" s="29"/>
    </row>
    <row r="886" ht="15.75" customHeight="1">
      <c r="B886" s="29"/>
    </row>
    <row r="887" ht="15.75" customHeight="1">
      <c r="B887" s="29"/>
    </row>
    <row r="888" ht="15.75" customHeight="1">
      <c r="B888" s="29"/>
    </row>
    <row r="889" ht="15.75" customHeight="1">
      <c r="B889" s="29"/>
    </row>
    <row r="890" ht="15.75" customHeight="1">
      <c r="B890" s="29"/>
    </row>
    <row r="891" ht="15.75" customHeight="1">
      <c r="B891" s="29"/>
    </row>
    <row r="892" ht="15.75" customHeight="1">
      <c r="B892" s="29"/>
    </row>
    <row r="893" ht="15.75" customHeight="1">
      <c r="B893" s="29"/>
    </row>
    <row r="894" ht="15.75" customHeight="1">
      <c r="B894" s="29"/>
    </row>
    <row r="895" ht="15.75" customHeight="1">
      <c r="B895" s="29"/>
    </row>
    <row r="896" ht="15.75" customHeight="1">
      <c r="B896" s="29"/>
    </row>
    <row r="897" ht="15.75" customHeight="1">
      <c r="B897" s="29"/>
    </row>
    <row r="898" ht="15.75" customHeight="1">
      <c r="B898" s="29"/>
    </row>
    <row r="899" ht="15.75" customHeight="1">
      <c r="B899" s="29"/>
    </row>
    <row r="900" ht="15.75" customHeight="1">
      <c r="B900" s="29"/>
    </row>
    <row r="901" ht="15.75" customHeight="1">
      <c r="B901" s="29"/>
    </row>
    <row r="902" ht="15.75" customHeight="1">
      <c r="B902" s="29"/>
    </row>
    <row r="903" ht="15.75" customHeight="1">
      <c r="B903" s="29"/>
    </row>
    <row r="904" ht="15.75" customHeight="1">
      <c r="B904" s="29"/>
    </row>
    <row r="905" ht="15.75" customHeight="1">
      <c r="B905" s="29"/>
    </row>
    <row r="906" ht="15.75" customHeight="1">
      <c r="B906" s="29"/>
    </row>
    <row r="907" ht="15.75" customHeight="1">
      <c r="B907" s="29"/>
    </row>
    <row r="908" ht="15.75" customHeight="1">
      <c r="B908" s="29"/>
    </row>
    <row r="909" ht="15.75" customHeight="1">
      <c r="B909" s="29"/>
    </row>
    <row r="910" ht="15.75" customHeight="1">
      <c r="B910" s="29"/>
    </row>
    <row r="911" ht="15.75" customHeight="1">
      <c r="B911" s="29"/>
    </row>
    <row r="912" ht="15.75" customHeight="1">
      <c r="B912" s="29"/>
    </row>
    <row r="913" ht="15.75" customHeight="1">
      <c r="B913" s="29"/>
    </row>
    <row r="914" ht="15.75" customHeight="1">
      <c r="B914" s="29"/>
    </row>
    <row r="915" ht="15.75" customHeight="1">
      <c r="B915" s="29"/>
    </row>
    <row r="916" ht="15.75" customHeight="1">
      <c r="B916" s="29"/>
    </row>
    <row r="917" ht="15.75" customHeight="1">
      <c r="B917" s="29"/>
    </row>
    <row r="918" ht="15.75" customHeight="1">
      <c r="B918" s="29"/>
    </row>
    <row r="919" ht="15.75" customHeight="1">
      <c r="B919" s="29"/>
    </row>
    <row r="920" ht="15.75" customHeight="1">
      <c r="B920" s="29"/>
    </row>
    <row r="921" ht="15.75" customHeight="1">
      <c r="B921" s="29"/>
    </row>
    <row r="922" ht="15.75" customHeight="1">
      <c r="B922" s="29"/>
    </row>
    <row r="923" ht="15.75" customHeight="1">
      <c r="B923" s="29"/>
    </row>
    <row r="924" ht="15.75" customHeight="1">
      <c r="B924" s="29"/>
    </row>
    <row r="925" ht="15.75" customHeight="1">
      <c r="B925" s="29"/>
    </row>
    <row r="926" ht="15.75" customHeight="1">
      <c r="B926" s="29"/>
    </row>
    <row r="927" ht="15.75" customHeight="1">
      <c r="B927" s="29"/>
    </row>
    <row r="928" ht="15.75" customHeight="1">
      <c r="B928" s="29"/>
    </row>
    <row r="929" ht="15.75" customHeight="1">
      <c r="B929" s="29"/>
    </row>
    <row r="930" ht="15.75" customHeight="1">
      <c r="B930" s="29"/>
    </row>
    <row r="931" ht="15.75" customHeight="1">
      <c r="B931" s="29"/>
    </row>
    <row r="932" ht="15.75" customHeight="1">
      <c r="B932" s="29"/>
    </row>
    <row r="933" ht="15.75" customHeight="1">
      <c r="B933" s="29"/>
    </row>
    <row r="934" ht="15.75" customHeight="1">
      <c r="B934" s="29"/>
    </row>
    <row r="935" ht="15.75" customHeight="1">
      <c r="B935" s="29"/>
    </row>
    <row r="936" ht="15.75" customHeight="1">
      <c r="B936" s="29"/>
    </row>
    <row r="937" ht="15.75" customHeight="1">
      <c r="B937" s="29"/>
    </row>
    <row r="938" ht="15.75" customHeight="1">
      <c r="B938" s="29"/>
    </row>
    <row r="939" ht="15.75" customHeight="1">
      <c r="B939" s="29"/>
    </row>
    <row r="940" ht="15.75" customHeight="1">
      <c r="B940" s="29"/>
    </row>
    <row r="941" ht="15.75" customHeight="1">
      <c r="B941" s="29"/>
    </row>
    <row r="942" ht="15.75" customHeight="1">
      <c r="B942" s="29"/>
    </row>
    <row r="943" ht="15.75" customHeight="1">
      <c r="B943" s="29"/>
    </row>
    <row r="944" ht="15.75" customHeight="1">
      <c r="B944" s="29"/>
    </row>
    <row r="945" ht="15.75" customHeight="1">
      <c r="B945" s="29"/>
    </row>
    <row r="946" ht="15.75" customHeight="1">
      <c r="B946" s="29"/>
    </row>
    <row r="947" ht="15.75" customHeight="1">
      <c r="B947" s="29"/>
    </row>
    <row r="948" ht="15.75" customHeight="1">
      <c r="B948" s="29"/>
    </row>
    <row r="949" ht="15.75" customHeight="1">
      <c r="B949" s="29"/>
    </row>
    <row r="950" ht="15.75" customHeight="1">
      <c r="B950" s="29"/>
    </row>
    <row r="951" ht="15.75" customHeight="1">
      <c r="B951" s="29"/>
    </row>
    <row r="952" ht="15.75" customHeight="1">
      <c r="B952" s="29"/>
    </row>
    <row r="953" ht="15.75" customHeight="1">
      <c r="B953" s="29"/>
    </row>
    <row r="954" ht="15.75" customHeight="1">
      <c r="B954" s="29"/>
    </row>
    <row r="955" ht="15.75" customHeight="1">
      <c r="B955" s="29"/>
    </row>
    <row r="956" ht="15.75" customHeight="1">
      <c r="B956" s="29"/>
    </row>
    <row r="957" ht="15.75" customHeight="1">
      <c r="B957" s="29"/>
    </row>
    <row r="958" ht="15.75" customHeight="1">
      <c r="B958" s="29"/>
    </row>
    <row r="959" ht="15.75" customHeight="1">
      <c r="B959" s="29"/>
    </row>
    <row r="960" ht="15.75" customHeight="1">
      <c r="B960" s="29"/>
    </row>
    <row r="961" ht="15.75" customHeight="1">
      <c r="B961" s="29"/>
    </row>
    <row r="962" ht="15.75" customHeight="1">
      <c r="B962" s="29"/>
    </row>
    <row r="963" ht="15.75" customHeight="1">
      <c r="B963" s="29"/>
    </row>
    <row r="964" ht="15.75" customHeight="1">
      <c r="B964" s="29"/>
    </row>
    <row r="965" ht="15.75" customHeight="1">
      <c r="B965" s="29"/>
    </row>
    <row r="966" ht="15.75" customHeight="1">
      <c r="B966" s="29"/>
    </row>
    <row r="967" ht="15.75" customHeight="1">
      <c r="B967" s="29"/>
    </row>
    <row r="968" ht="15.75" customHeight="1">
      <c r="B968" s="29"/>
    </row>
    <row r="969" ht="15.75" customHeight="1">
      <c r="B969" s="29"/>
    </row>
    <row r="970" ht="15.75" customHeight="1">
      <c r="B970" s="29"/>
    </row>
    <row r="971" ht="15.75" customHeight="1">
      <c r="B971" s="29"/>
    </row>
    <row r="972" ht="15.75" customHeight="1">
      <c r="B972" s="29"/>
    </row>
    <row r="973" ht="15.75" customHeight="1">
      <c r="B973" s="29"/>
    </row>
    <row r="974" ht="15.75" customHeight="1">
      <c r="B974" s="29"/>
    </row>
    <row r="975" ht="15.75" customHeight="1">
      <c r="B975" s="29"/>
    </row>
    <row r="976" ht="15.75" customHeight="1">
      <c r="B976" s="29"/>
    </row>
    <row r="977" ht="15.75" customHeight="1">
      <c r="B977" s="29"/>
    </row>
    <row r="978" ht="15.75" customHeight="1">
      <c r="B978" s="29"/>
    </row>
    <row r="979" ht="15.75" customHeight="1">
      <c r="B979" s="29"/>
    </row>
    <row r="980" ht="15.75" customHeight="1">
      <c r="B980" s="29"/>
    </row>
    <row r="981" ht="15.75" customHeight="1">
      <c r="B981" s="29"/>
    </row>
    <row r="982" ht="15.75" customHeight="1">
      <c r="B982" s="29"/>
    </row>
    <row r="983" ht="15.75" customHeight="1">
      <c r="B983" s="29"/>
    </row>
    <row r="984" ht="15.75" customHeight="1">
      <c r="B984" s="29"/>
    </row>
    <row r="985" ht="15.75" customHeight="1">
      <c r="B985" s="29"/>
    </row>
    <row r="986" ht="15.75" customHeight="1">
      <c r="B986" s="29"/>
    </row>
    <row r="987" ht="15.75" customHeight="1">
      <c r="B987" s="29"/>
    </row>
    <row r="988" ht="15.75" customHeight="1">
      <c r="B988" s="29"/>
    </row>
    <row r="989" ht="15.75" customHeight="1">
      <c r="B989" s="29"/>
    </row>
    <row r="990" ht="15.75" customHeight="1">
      <c r="B990" s="29"/>
    </row>
    <row r="991" ht="15.75" customHeight="1">
      <c r="B991" s="29"/>
    </row>
    <row r="992" ht="15.75" customHeight="1">
      <c r="B992" s="29"/>
    </row>
    <row r="993" ht="15.75" customHeight="1">
      <c r="B993" s="29"/>
    </row>
    <row r="994" ht="15.75" customHeight="1">
      <c r="B994" s="29"/>
    </row>
    <row r="995" ht="15.75" customHeight="1">
      <c r="B995" s="29"/>
    </row>
    <row r="996" ht="15.75" customHeight="1">
      <c r="B996" s="29"/>
    </row>
    <row r="997" ht="15.75" customHeight="1">
      <c r="B997" s="29"/>
    </row>
    <row r="998" ht="15.75" customHeight="1">
      <c r="B998" s="29"/>
    </row>
    <row r="999" ht="15.75" customHeight="1">
      <c r="B999" s="29"/>
    </row>
    <row r="1000" ht="15.75" customHeight="1">
      <c r="B1000" s="29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496</v>
      </c>
      <c r="C1" s="1" t="s">
        <v>493</v>
      </c>
      <c r="D1" s="1" t="s">
        <v>497</v>
      </c>
      <c r="E1" s="1" t="s">
        <v>498</v>
      </c>
    </row>
    <row r="2" ht="15.75" customHeight="1">
      <c r="A2" s="4" t="s">
        <v>12</v>
      </c>
      <c r="B2" s="4">
        <v>6862.91</v>
      </c>
      <c r="C2" s="1">
        <f>VLOOKUP(A2, Sheet1!A:B, 2, FALSE)</f>
        <v>74.8</v>
      </c>
      <c r="D2" s="5">
        <f t="shared" ref="D2:E2" si="1">(B2-B$18)*100/B$18</f>
        <v>108.7843922</v>
      </c>
      <c r="E2" s="5">
        <f t="shared" si="1"/>
        <v>76.41509434</v>
      </c>
    </row>
    <row r="3" ht="15.75" customHeight="1">
      <c r="A3" s="4" t="s">
        <v>13</v>
      </c>
      <c r="B3" s="4">
        <v>5379.43</v>
      </c>
      <c r="C3" s="1">
        <f>VLOOKUP(A3, Sheet1!A:B, 2, FALSE)</f>
        <v>54.8</v>
      </c>
      <c r="D3" s="5">
        <f t="shared" ref="D3:E3" si="2">(B3-B$18)*100/B$18</f>
        <v>63.65375957</v>
      </c>
      <c r="E3" s="5">
        <f t="shared" si="2"/>
        <v>29.24528302</v>
      </c>
    </row>
    <row r="4" ht="15.75" customHeight="1">
      <c r="A4" s="4" t="s">
        <v>14</v>
      </c>
      <c r="B4" s="4">
        <v>4269.48</v>
      </c>
      <c r="C4" s="1">
        <f>VLOOKUP(A4, Sheet1!A:B, 2, FALSE)</f>
        <v>54.3</v>
      </c>
      <c r="D4" s="5">
        <f t="shared" ref="D4:E4" si="3">(B4-B$18)*100/B$18</f>
        <v>29.88670796</v>
      </c>
      <c r="E4" s="5">
        <f t="shared" si="3"/>
        <v>28.06603774</v>
      </c>
    </row>
    <row r="5" ht="15.75" customHeight="1">
      <c r="A5" s="4" t="s">
        <v>15</v>
      </c>
      <c r="B5" s="4">
        <v>4106.34</v>
      </c>
      <c r="C5" s="1">
        <f>VLOOKUP(A5, Sheet1!A:B, 2, FALSE)</f>
        <v>73.7</v>
      </c>
      <c r="D5" s="5">
        <f t="shared" ref="D5:E5" si="4">(B5-B$18)*100/B$18</f>
        <v>24.92364043</v>
      </c>
      <c r="E5" s="5">
        <f t="shared" si="4"/>
        <v>73.82075472</v>
      </c>
    </row>
    <row r="6" ht="15.75" customHeight="1">
      <c r="A6" s="4" t="s">
        <v>16</v>
      </c>
      <c r="B6" s="4">
        <v>4076.16</v>
      </c>
      <c r="C6" s="1">
        <f>VLOOKUP(A6, Sheet1!A:B, 2, FALSE)</f>
        <v>65.9</v>
      </c>
      <c r="D6" s="5">
        <f t="shared" ref="D6:E6" si="5">(B6-B$18)*100/B$18</f>
        <v>24.00550032</v>
      </c>
      <c r="E6" s="5">
        <f t="shared" si="5"/>
        <v>55.4245283</v>
      </c>
    </row>
    <row r="7" ht="15.75" customHeight="1">
      <c r="A7" s="4" t="s">
        <v>17</v>
      </c>
      <c r="B7" s="4">
        <v>4005.27</v>
      </c>
      <c r="C7" s="1">
        <f>VLOOKUP(A7, Sheet1!A:B, 2, FALSE)</f>
        <v>48.6</v>
      </c>
      <c r="D7" s="5">
        <f t="shared" ref="D7:E7" si="6">(B7-B$18)*100/B$18</f>
        <v>21.84887499</v>
      </c>
      <c r="E7" s="5">
        <f t="shared" si="6"/>
        <v>14.62264151</v>
      </c>
    </row>
    <row r="8" ht="15.75" customHeight="1">
      <c r="A8" s="4" t="s">
        <v>18</v>
      </c>
      <c r="B8" s="4">
        <v>3945.23</v>
      </c>
      <c r="C8" s="1">
        <f>VLOOKUP(A8, Sheet1!A:B, 2, FALSE)</f>
        <v>47.1</v>
      </c>
      <c r="D8" s="5">
        <f t="shared" ref="D8:E8" si="7">(B8-B$18)*100/B$18</f>
        <v>20.02232985</v>
      </c>
      <c r="E8" s="5">
        <f t="shared" si="7"/>
        <v>11.08490566</v>
      </c>
    </row>
    <row r="9" ht="15.75" customHeight="1">
      <c r="A9" s="4" t="s">
        <v>19</v>
      </c>
      <c r="B9" s="4">
        <v>3852.5</v>
      </c>
      <c r="C9" s="1">
        <f>VLOOKUP(A9, Sheet1!A:B, 2, FALSE)</f>
        <v>65.7</v>
      </c>
      <c r="D9" s="5">
        <f t="shared" ref="D9:E9" si="8">(B9-B$18)*100/B$18</f>
        <v>17.20128503</v>
      </c>
      <c r="E9" s="5">
        <f t="shared" si="8"/>
        <v>54.95283019</v>
      </c>
    </row>
    <row r="10" ht="15.75" customHeight="1">
      <c r="A10" s="4" t="s">
        <v>20</v>
      </c>
      <c r="B10" s="4">
        <v>3829.17</v>
      </c>
      <c r="C10" s="1">
        <f>VLOOKUP(A10, Sheet1!A:B, 2, FALSE)</f>
        <v>47.9</v>
      </c>
      <c r="D10" s="5">
        <f t="shared" ref="D10:E10" si="9">(B10-B$18)*100/B$18</f>
        <v>16.49153656</v>
      </c>
      <c r="E10" s="5">
        <f t="shared" si="9"/>
        <v>12.97169811</v>
      </c>
    </row>
    <row r="11" ht="15.75" customHeight="1">
      <c r="A11" s="4" t="s">
        <v>21</v>
      </c>
      <c r="B11" s="4">
        <v>3645.41</v>
      </c>
      <c r="C11" s="1">
        <f>VLOOKUP(A11, Sheet1!A:B, 2, FALSE)</f>
        <v>49.4</v>
      </c>
      <c r="D11" s="5">
        <f t="shared" ref="D11:E11" si="10">(B11-B$18)*100/B$18</f>
        <v>10.90116456</v>
      </c>
      <c r="E11" s="5">
        <f t="shared" si="10"/>
        <v>16.50943396</v>
      </c>
    </row>
    <row r="12" ht="15.75" customHeight="1">
      <c r="A12" s="4" t="s">
        <v>22</v>
      </c>
      <c r="B12" s="4">
        <v>3572.87</v>
      </c>
      <c r="C12" s="1">
        <f>VLOOKUP(A12, Sheet1!A:B, 2, FALSE)</f>
        <v>46.3</v>
      </c>
      <c r="D12" s="5">
        <f t="shared" ref="D12:E12" si="11">(B12-B$18)*100/B$18</f>
        <v>8.694342699</v>
      </c>
      <c r="E12" s="5">
        <f t="shared" si="11"/>
        <v>9.198113208</v>
      </c>
    </row>
    <row r="13" ht="15.75" customHeight="1">
      <c r="A13" s="4" t="s">
        <v>23</v>
      </c>
      <c r="B13" s="4">
        <v>3520.47</v>
      </c>
      <c r="C13" s="1">
        <f>VLOOKUP(A13, Sheet1!A:B, 2, FALSE)</f>
        <v>47.8</v>
      </c>
      <c r="D13" s="5">
        <f t="shared" ref="D13:E13" si="12">(B13-B$18)*100/B$18</f>
        <v>7.10022269</v>
      </c>
      <c r="E13" s="5">
        <f t="shared" si="12"/>
        <v>12.73584906</v>
      </c>
    </row>
    <row r="14" ht="15.75" customHeight="1">
      <c r="A14" s="4" t="s">
        <v>24</v>
      </c>
      <c r="B14" s="4">
        <v>3447.98</v>
      </c>
      <c r="C14" s="1">
        <f>VLOOKUP(A14, Sheet1!A:B, 2, FALSE)</f>
        <v>41.2</v>
      </c>
      <c r="D14" s="5">
        <f t="shared" ref="D14:E14" si="13">(B14-B$18)*100/B$18</f>
        <v>4.894921937</v>
      </c>
      <c r="E14" s="5">
        <f t="shared" si="13"/>
        <v>-2.830188679</v>
      </c>
    </row>
    <row r="15" ht="15.75" customHeight="1">
      <c r="A15" s="4" t="s">
        <v>25</v>
      </c>
      <c r="B15" s="4">
        <v>3441.52</v>
      </c>
      <c r="C15" s="1">
        <f>VLOOKUP(A15, Sheet1!A:B, 2, FALSE)</f>
        <v>50.6</v>
      </c>
      <c r="D15" s="5">
        <f t="shared" ref="D15:E15" si="14">(B15-B$18)*100/B$18</f>
        <v>4.698394928</v>
      </c>
      <c r="E15" s="5">
        <f t="shared" si="14"/>
        <v>19.33962264</v>
      </c>
    </row>
    <row r="16" ht="15.75" customHeight="1">
      <c r="A16" s="4" t="s">
        <v>26</v>
      </c>
      <c r="B16" s="4">
        <v>3372.51</v>
      </c>
      <c r="C16" s="1">
        <f>VLOOKUP(A16, Sheet1!A:B, 2, FALSE)</f>
        <v>41.7</v>
      </c>
      <c r="D16" s="5">
        <f t="shared" ref="D16:E16" si="15">(B16-B$18)*100/B$18</f>
        <v>2.598963214</v>
      </c>
      <c r="E16" s="5">
        <f t="shared" si="15"/>
        <v>-1.650943396</v>
      </c>
    </row>
    <row r="17" ht="15.75" customHeight="1">
      <c r="A17" s="4" t="s">
        <v>27</v>
      </c>
      <c r="B17" s="4">
        <v>3301.93</v>
      </c>
      <c r="C17" s="1">
        <f>VLOOKUP(A17, Sheet1!A:B, 2, FALSE)</f>
        <v>48.3</v>
      </c>
      <c r="D17" s="5">
        <f t="shared" ref="D17:E17" si="16">(B17-B$18)*100/B$18</f>
        <v>0.4517687431</v>
      </c>
      <c r="E17" s="5">
        <f t="shared" si="16"/>
        <v>13.91509434</v>
      </c>
    </row>
    <row r="18" ht="15.75" customHeight="1">
      <c r="A18" s="4" t="s">
        <v>28</v>
      </c>
      <c r="B18" s="4">
        <v>3287.08</v>
      </c>
      <c r="C18" s="1">
        <f>VLOOKUP(A18, Sheet1!A:B, 2, FALSE)</f>
        <v>42.4</v>
      </c>
      <c r="D18" s="5">
        <f t="shared" ref="D18:E18" si="17">(B18-B$18)*100/B$18</f>
        <v>0</v>
      </c>
      <c r="E18" s="5">
        <f t="shared" si="17"/>
        <v>0</v>
      </c>
    </row>
    <row r="19" ht="15.75" customHeight="1">
      <c r="A19" s="4" t="s">
        <v>29</v>
      </c>
      <c r="B19" s="4">
        <v>3072.84</v>
      </c>
      <c r="C19" s="1">
        <f>VLOOKUP(A19, Sheet1!A:B, 2, FALSE)</f>
        <v>38.7</v>
      </c>
      <c r="D19" s="5">
        <f t="shared" ref="D19:E19" si="18">(B19-B$18)*100/B$18</f>
        <v>-6.517638755</v>
      </c>
      <c r="E19" s="5">
        <f t="shared" si="18"/>
        <v>-8.726415094</v>
      </c>
    </row>
    <row r="20" ht="15.75" customHeight="1">
      <c r="A20" s="4" t="s">
        <v>30</v>
      </c>
      <c r="B20" s="4">
        <v>3038.11</v>
      </c>
      <c r="C20" s="1">
        <f>VLOOKUP(A20, Sheet1!A:B, 2, FALSE)</f>
        <v>46.1</v>
      </c>
      <c r="D20" s="5">
        <f t="shared" ref="D20:E20" si="19">(B20-B$18)*100/B$18</f>
        <v>-7.574199594</v>
      </c>
      <c r="E20" s="5">
        <f t="shared" si="19"/>
        <v>8.726415094</v>
      </c>
    </row>
    <row r="21" ht="15.75" customHeight="1">
      <c r="A21" s="4" t="s">
        <v>31</v>
      </c>
      <c r="B21" s="4">
        <v>2987.09</v>
      </c>
      <c r="C21" s="1">
        <f>VLOOKUP(A21, Sheet1!A:B, 2, FALSE)</f>
        <v>41.1</v>
      </c>
      <c r="D21" s="5">
        <f t="shared" ref="D21:E21" si="20">(B21-B$18)*100/B$18</f>
        <v>-9.126337053</v>
      </c>
      <c r="E21" s="5">
        <f t="shared" si="20"/>
        <v>-3.066037736</v>
      </c>
    </row>
    <row r="22" ht="15.75" customHeight="1">
      <c r="A22" s="4" t="s">
        <v>32</v>
      </c>
      <c r="B22" s="4">
        <v>2818.77</v>
      </c>
      <c r="C22" s="1">
        <f>VLOOKUP(A22, Sheet1!A:B, 2, FALSE)</f>
        <v>36</v>
      </c>
      <c r="D22" s="5">
        <f t="shared" ref="D22:E22" si="21">(B22-B$18)*100/B$18</f>
        <v>-14.24699125</v>
      </c>
      <c r="E22" s="5">
        <f t="shared" si="21"/>
        <v>-15.09433962</v>
      </c>
    </row>
    <row r="23" ht="15.75" customHeight="1">
      <c r="A23" s="4" t="s">
        <v>33</v>
      </c>
      <c r="B23" s="4">
        <v>2798.06</v>
      </c>
      <c r="C23" s="1">
        <f>VLOOKUP(A23, Sheet1!A:B, 2, FALSE)</f>
        <v>40.1</v>
      </c>
      <c r="D23" s="5">
        <f t="shared" ref="D23:E23" si="22">(B23-B$18)*100/B$18</f>
        <v>-14.87703372</v>
      </c>
      <c r="E23" s="5">
        <f t="shared" si="22"/>
        <v>-5.424528302</v>
      </c>
    </row>
    <row r="24" ht="15.75" customHeight="1">
      <c r="A24" s="4" t="s">
        <v>34</v>
      </c>
      <c r="B24" s="4">
        <v>2786.82</v>
      </c>
      <c r="C24" s="1">
        <f>VLOOKUP(A24, Sheet1!A:B, 2, FALSE)</f>
        <v>43.6</v>
      </c>
      <c r="D24" s="5">
        <f t="shared" ref="D24:E24" si="23">(B24-B$18)*100/B$18</f>
        <v>-15.21897855</v>
      </c>
      <c r="E24" s="5">
        <f t="shared" si="23"/>
        <v>2.830188679</v>
      </c>
    </row>
    <row r="25" ht="15.75" customHeight="1">
      <c r="A25" s="4" t="s">
        <v>35</v>
      </c>
      <c r="B25" s="4">
        <v>2785.28</v>
      </c>
      <c r="C25" s="1">
        <f>VLOOKUP(A25, Sheet1!A:B, 2, FALSE)</f>
        <v>41</v>
      </c>
      <c r="D25" s="5">
        <f t="shared" ref="D25:E25" si="24">(B25-B$18)*100/B$18</f>
        <v>-15.26582864</v>
      </c>
      <c r="E25" s="5">
        <f t="shared" si="24"/>
        <v>-3.301886792</v>
      </c>
    </row>
    <row r="26" ht="15.75" customHeight="1">
      <c r="A26" s="4" t="s">
        <v>36</v>
      </c>
      <c r="B26" s="4">
        <v>2734.78</v>
      </c>
      <c r="C26" s="1">
        <f>VLOOKUP(A26, Sheet1!A:B, 2, FALSE)</f>
        <v>32.2</v>
      </c>
      <c r="D26" s="5">
        <f t="shared" ref="D26:E26" si="25">(B26-B$18)*100/B$18</f>
        <v>-16.80214659</v>
      </c>
      <c r="E26" s="5">
        <f t="shared" si="25"/>
        <v>-24.05660377</v>
      </c>
    </row>
    <row r="27" ht="15.75" customHeight="1">
      <c r="A27" s="4" t="s">
        <v>37</v>
      </c>
      <c r="B27" s="4">
        <v>2495.16</v>
      </c>
      <c r="C27" s="1">
        <f>VLOOKUP(A27, Sheet1!A:B, 2, FALSE)</f>
        <v>38.2</v>
      </c>
      <c r="D27" s="5">
        <f t="shared" ref="D27:E27" si="26">(B27-B$18)*100/B$18</f>
        <v>-24.09189919</v>
      </c>
      <c r="E27" s="5">
        <f t="shared" si="26"/>
        <v>-9.905660377</v>
      </c>
    </row>
    <row r="28" ht="15.75" customHeight="1">
      <c r="A28" s="4" t="s">
        <v>38</v>
      </c>
      <c r="B28" s="4">
        <v>2410.53</v>
      </c>
      <c r="C28" s="1">
        <f>VLOOKUP(A28, Sheet1!A:B, 2, FALSE)</f>
        <v>41.5</v>
      </c>
      <c r="D28" s="5">
        <f t="shared" ref="D28:E28" si="27">(B28-B$18)*100/B$18</f>
        <v>-26.6665247</v>
      </c>
      <c r="E28" s="5">
        <f t="shared" si="27"/>
        <v>-2.122641509</v>
      </c>
    </row>
    <row r="29" ht="15.75" customHeight="1">
      <c r="A29" s="4" t="s">
        <v>39</v>
      </c>
      <c r="B29" s="4">
        <v>2386.32</v>
      </c>
      <c r="C29" s="1">
        <f>VLOOKUP(A29, Sheet1!A:B, 2, FALSE)</f>
        <v>28.4</v>
      </c>
      <c r="D29" s="5">
        <f t="shared" ref="D29:E29" si="28">(B29-B$18)*100/B$18</f>
        <v>-27.40304465</v>
      </c>
      <c r="E29" s="5">
        <f t="shared" si="28"/>
        <v>-33.01886792</v>
      </c>
    </row>
    <row r="30" ht="15.75" customHeight="1">
      <c r="A30" s="4" t="s">
        <v>40</v>
      </c>
      <c r="B30" s="4">
        <v>2092.09</v>
      </c>
      <c r="C30" s="1">
        <f>VLOOKUP(A30, Sheet1!A:B, 2, FALSE)</f>
        <v>31.6</v>
      </c>
      <c r="D30" s="5">
        <f t="shared" ref="D30:E30" si="29">(B30-B$18)*100/B$18</f>
        <v>-36.35415019</v>
      </c>
      <c r="E30" s="5">
        <f t="shared" si="29"/>
        <v>-25.47169811</v>
      </c>
    </row>
    <row r="31" ht="15.75" customHeight="1">
      <c r="A31" s="4" t="s">
        <v>41</v>
      </c>
      <c r="B31" s="4">
        <v>2068.7</v>
      </c>
      <c r="C31" s="1">
        <f>VLOOKUP(A31, Sheet1!A:B, 2, FALSE)</f>
        <v>27.5</v>
      </c>
      <c r="D31" s="5">
        <f t="shared" ref="D31:E31" si="30">(B31-B$18)*100/B$18</f>
        <v>-37.06572399</v>
      </c>
      <c r="E31" s="5">
        <f t="shared" si="30"/>
        <v>-35.14150943</v>
      </c>
    </row>
    <row r="32" ht="15.75" customHeight="1">
      <c r="A32" s="4" t="s">
        <v>42</v>
      </c>
      <c r="B32" s="4">
        <v>2042.2</v>
      </c>
      <c r="C32" s="1">
        <f>VLOOKUP(A32, Sheet1!A:B, 2, FALSE)</f>
        <v>33.6</v>
      </c>
      <c r="D32" s="5">
        <f t="shared" ref="D32:E32" si="31">(B32-B$18)*100/B$18</f>
        <v>-37.87191063</v>
      </c>
      <c r="E32" s="5">
        <f t="shared" si="31"/>
        <v>-20.75471698</v>
      </c>
    </row>
    <row r="33" ht="15.75" customHeight="1">
      <c r="A33" s="4" t="s">
        <v>43</v>
      </c>
      <c r="B33" s="4">
        <v>1886.76</v>
      </c>
      <c r="C33" s="1">
        <f>VLOOKUP(A33, Sheet1!A:B, 2, FALSE)</f>
        <v>38.2</v>
      </c>
      <c r="D33" s="5">
        <f t="shared" ref="D33:E33" si="32">(B33-B$18)*100/B$18</f>
        <v>-42.6007277</v>
      </c>
      <c r="E33" s="5">
        <f t="shared" si="32"/>
        <v>-9.905660377</v>
      </c>
    </row>
    <row r="34" ht="15.75" customHeight="1">
      <c r="A34" s="4" t="s">
        <v>44</v>
      </c>
      <c r="B34" s="4">
        <v>1838.18</v>
      </c>
      <c r="C34" s="1">
        <f>VLOOKUP(A34, Sheet1!A:B, 2, FALSE)</f>
        <v>36.3</v>
      </c>
      <c r="D34" s="5">
        <f t="shared" ref="D34:E34" si="33">(B34-B$18)*100/B$18</f>
        <v>-44.07863514</v>
      </c>
      <c r="E34" s="5">
        <f t="shared" si="33"/>
        <v>-14.38679245</v>
      </c>
    </row>
    <row r="35" ht="15.75" customHeight="1">
      <c r="A35" s="4" t="s">
        <v>45</v>
      </c>
      <c r="B35" s="4">
        <v>1701.33</v>
      </c>
      <c r="C35" s="1">
        <f>VLOOKUP(A35, Sheet1!A:B, 2, FALSE)</f>
        <v>31.5</v>
      </c>
      <c r="D35" s="5">
        <f t="shared" ref="D35:E35" si="34">(B35-B$18)*100/B$18</f>
        <v>-48.24190467</v>
      </c>
      <c r="E35" s="5">
        <f t="shared" si="34"/>
        <v>-25.70754717</v>
      </c>
    </row>
    <row r="36" ht="15.75" customHeight="1">
      <c r="A36" s="4" t="s">
        <v>46</v>
      </c>
      <c r="B36" s="4">
        <v>1701.32</v>
      </c>
      <c r="C36" s="1">
        <f>VLOOKUP(A36, Sheet1!A:B, 2, FALSE)</f>
        <v>34.1</v>
      </c>
      <c r="D36" s="5">
        <f t="shared" ref="D36:E36" si="35">(B36-B$18)*100/B$18</f>
        <v>-48.24220889</v>
      </c>
      <c r="E36" s="5">
        <f t="shared" si="35"/>
        <v>-19.5754717</v>
      </c>
    </row>
    <row r="37" ht="15.75" customHeight="1">
      <c r="A37" s="4" t="s">
        <v>47</v>
      </c>
      <c r="B37" s="4">
        <v>1688.65</v>
      </c>
      <c r="C37" s="1">
        <f>VLOOKUP(A37, Sheet1!A:B, 2, FALSE)</f>
        <v>33.8</v>
      </c>
      <c r="D37" s="5">
        <f t="shared" ref="D37:E37" si="36">(B37-B$18)*100/B$18</f>
        <v>-48.62765737</v>
      </c>
      <c r="E37" s="5">
        <f t="shared" si="36"/>
        <v>-20.28301887</v>
      </c>
    </row>
    <row r="38" ht="15.75" customHeight="1">
      <c r="A38" s="4" t="s">
        <v>48</v>
      </c>
      <c r="B38" s="4">
        <v>1644.77</v>
      </c>
      <c r="C38" s="1">
        <f>VLOOKUP(A38, Sheet1!A:B, 2, FALSE)</f>
        <v>30.5</v>
      </c>
      <c r="D38" s="5">
        <f t="shared" ref="D38:E38" si="37">(B38-B$18)*100/B$18</f>
        <v>-49.96258077</v>
      </c>
      <c r="E38" s="5">
        <f t="shared" si="37"/>
        <v>-28.06603774</v>
      </c>
    </row>
    <row r="39" ht="15.75" customHeight="1">
      <c r="A39" s="4" t="s">
        <v>49</v>
      </c>
      <c r="B39" s="4">
        <v>1632.99</v>
      </c>
      <c r="C39" s="1">
        <f>VLOOKUP(A39, Sheet1!A:B, 2, FALSE)</f>
        <v>28.8</v>
      </c>
      <c r="D39" s="5">
        <f t="shared" ref="D39:E39" si="38">(B39-B$18)*100/B$18</f>
        <v>-50.32095355</v>
      </c>
      <c r="E39" s="5">
        <f t="shared" si="38"/>
        <v>-32.0754717</v>
      </c>
    </row>
    <row r="40" ht="15.75" customHeight="1">
      <c r="A40" s="4" t="s">
        <v>50</v>
      </c>
      <c r="B40" s="4">
        <v>1537.8</v>
      </c>
      <c r="C40" s="1">
        <f>VLOOKUP(A40, Sheet1!A:B, 2, FALSE)</f>
        <v>37.1</v>
      </c>
      <c r="D40" s="5">
        <f t="shared" ref="D40:E40" si="39">(B40-B$18)*100/B$18</f>
        <v>-53.21683683</v>
      </c>
      <c r="E40" s="5">
        <f t="shared" si="39"/>
        <v>-12.5</v>
      </c>
    </row>
    <row r="41" ht="15.75" customHeight="1">
      <c r="A41" s="4" t="s">
        <v>51</v>
      </c>
      <c r="B41" s="4">
        <v>1516.63</v>
      </c>
      <c r="C41" s="1">
        <f>VLOOKUP(A41, Sheet1!A:B, 2, FALSE)</f>
        <v>30.5</v>
      </c>
      <c r="D41" s="5">
        <f t="shared" ref="D41:E41" si="40">(B41-B$18)*100/B$18</f>
        <v>-53.86087348</v>
      </c>
      <c r="E41" s="5">
        <f t="shared" si="40"/>
        <v>-28.06603774</v>
      </c>
    </row>
    <row r="42" ht="15.75" customHeight="1">
      <c r="A42" s="4" t="s">
        <v>52</v>
      </c>
      <c r="B42" s="4">
        <v>1458.62</v>
      </c>
      <c r="C42" s="1">
        <f>VLOOKUP(A42, Sheet1!A:B, 2, FALSE)</f>
        <v>30.9</v>
      </c>
      <c r="D42" s="5">
        <f t="shared" ref="D42:E42" si="41">(B42-B$18)*100/B$18</f>
        <v>-55.62566168</v>
      </c>
      <c r="E42" s="5">
        <f t="shared" si="41"/>
        <v>-27.12264151</v>
      </c>
    </row>
    <row r="43" ht="15.75" customHeight="1">
      <c r="A43" s="4" t="s">
        <v>53</v>
      </c>
      <c r="B43" s="4">
        <v>1414.5</v>
      </c>
      <c r="C43" s="1">
        <f>VLOOKUP(A43, Sheet1!A:B, 2, FALSE)</f>
        <v>21.6</v>
      </c>
      <c r="D43" s="5">
        <f t="shared" ref="D43:E43" si="42">(B43-B$18)*100/B$18</f>
        <v>-56.96788639</v>
      </c>
      <c r="E43" s="5">
        <f t="shared" si="42"/>
        <v>-49.05660377</v>
      </c>
    </row>
    <row r="44" ht="15.75" customHeight="1">
      <c r="A44" s="4" t="s">
        <v>54</v>
      </c>
      <c r="B44" s="4">
        <v>1388.08</v>
      </c>
      <c r="C44" s="1">
        <f>VLOOKUP(A44, Sheet1!A:B, 2, FALSE)</f>
        <v>29.7</v>
      </c>
      <c r="D44" s="5">
        <f t="shared" ref="D44:E44" si="43">(B44-B$18)*100/B$18</f>
        <v>-57.77163927</v>
      </c>
      <c r="E44" s="5">
        <f t="shared" si="43"/>
        <v>-29.95283019</v>
      </c>
    </row>
    <row r="45" ht="15.75" customHeight="1">
      <c r="A45" s="4" t="s">
        <v>55</v>
      </c>
      <c r="B45" s="4">
        <v>1298.51</v>
      </c>
      <c r="C45" s="1">
        <f>VLOOKUP(A45, Sheet1!A:B, 2, FALSE)</f>
        <v>28.6</v>
      </c>
      <c r="D45" s="5">
        <f t="shared" ref="D45:E45" si="44">(B45-B$18)*100/B$18</f>
        <v>-60.49655013</v>
      </c>
      <c r="E45" s="5">
        <f t="shared" si="44"/>
        <v>-32.54716981</v>
      </c>
    </row>
    <row r="46" ht="15.75" customHeight="1">
      <c r="A46" s="4" t="s">
        <v>56</v>
      </c>
      <c r="B46" s="4">
        <v>1225.66</v>
      </c>
      <c r="C46" s="1">
        <f>VLOOKUP(A46, Sheet1!A:B, 2, FALSE)</f>
        <v>32.8</v>
      </c>
      <c r="D46" s="5">
        <f t="shared" ref="D46:E46" si="45">(B46-B$18)*100/B$18</f>
        <v>-62.71280285</v>
      </c>
      <c r="E46" s="5">
        <f t="shared" si="45"/>
        <v>-22.64150943</v>
      </c>
    </row>
    <row r="47" ht="15.75" customHeight="1">
      <c r="A47" s="4" t="s">
        <v>57</v>
      </c>
      <c r="B47" s="4">
        <v>1187.71</v>
      </c>
      <c r="C47" s="1">
        <f>VLOOKUP(A47, Sheet1!A:B, 2, FALSE)</f>
        <v>24.2</v>
      </c>
      <c r="D47" s="5">
        <f t="shared" ref="D47:E47" si="46">(B47-B$18)*100/B$18</f>
        <v>-63.86732297</v>
      </c>
      <c r="E47" s="5">
        <f t="shared" si="46"/>
        <v>-42.9245283</v>
      </c>
    </row>
    <row r="48" ht="15.75" customHeight="1">
      <c r="A48" s="4" t="s">
        <v>58</v>
      </c>
      <c r="B48" s="4">
        <v>1180.91</v>
      </c>
      <c r="C48" s="1">
        <f>VLOOKUP(A48, Sheet1!A:B, 2, FALSE)</f>
        <v>25.3</v>
      </c>
      <c r="D48" s="5">
        <f t="shared" ref="D48:E48" si="47">(B48-B$18)*100/B$18</f>
        <v>-64.07419351</v>
      </c>
      <c r="E48" s="5">
        <f t="shared" si="47"/>
        <v>-40.33018868</v>
      </c>
    </row>
    <row r="49" ht="15.75" customHeight="1">
      <c r="A49" s="4" t="s">
        <v>59</v>
      </c>
      <c r="B49" s="4">
        <v>1137.2</v>
      </c>
      <c r="C49" s="1">
        <f>VLOOKUP(A49, Sheet1!A:B, 2, FALSE)</f>
        <v>22.2</v>
      </c>
      <c r="D49" s="5">
        <f t="shared" ref="D49:E49" si="48">(B49-B$18)*100/B$18</f>
        <v>-65.40394514</v>
      </c>
      <c r="E49" s="5">
        <f t="shared" si="48"/>
        <v>-47.64150943</v>
      </c>
    </row>
    <row r="50" ht="15.75" customHeight="1">
      <c r="A50" s="4" t="s">
        <v>60</v>
      </c>
      <c r="B50" s="4">
        <v>1129.59</v>
      </c>
      <c r="C50" s="1">
        <f>VLOOKUP(A50, Sheet1!A:B, 2, FALSE)</f>
        <v>23.2</v>
      </c>
      <c r="D50" s="5">
        <f t="shared" ref="D50:E50" si="49">(B50-B$18)*100/B$18</f>
        <v>-65.63545761</v>
      </c>
      <c r="E50" s="5">
        <f t="shared" si="49"/>
        <v>-45.28301887</v>
      </c>
    </row>
    <row r="51" ht="15.75" customHeight="1">
      <c r="A51" s="4" t="s">
        <v>61</v>
      </c>
      <c r="B51" s="4">
        <v>1098.28</v>
      </c>
      <c r="C51" s="1">
        <f>VLOOKUP(A51, Sheet1!A:B, 2, FALSE)</f>
        <v>20.1</v>
      </c>
      <c r="D51" s="5">
        <f t="shared" ref="D51:E51" si="50">(B51-B$18)*100/B$18</f>
        <v>-66.58797474</v>
      </c>
      <c r="E51" s="5">
        <f t="shared" si="50"/>
        <v>-52.59433962</v>
      </c>
    </row>
    <row r="52" ht="15.75" customHeight="1">
      <c r="A52" s="4" t="s">
        <v>62</v>
      </c>
      <c r="B52" s="4">
        <v>1064.97</v>
      </c>
      <c r="C52" s="1">
        <f>VLOOKUP(A52, Sheet1!A:B, 2, FALSE)</f>
        <v>31.1</v>
      </c>
      <c r="D52" s="5">
        <f t="shared" ref="D52:E52" si="51">(B52-B$18)*100/B$18</f>
        <v>-67.60133614</v>
      </c>
      <c r="E52" s="5">
        <f t="shared" si="51"/>
        <v>-26.6509434</v>
      </c>
    </row>
    <row r="53" ht="15.75" customHeight="1">
      <c r="A53" s="4" t="s">
        <v>63</v>
      </c>
      <c r="B53" s="4">
        <v>1029.74</v>
      </c>
      <c r="C53" s="1">
        <f>VLOOKUP(A53, Sheet1!A:B, 2, FALSE)</f>
        <v>31.5</v>
      </c>
      <c r="D53" s="5">
        <f t="shared" ref="D53:E53" si="52">(B53-B$18)*100/B$18</f>
        <v>-68.67310805</v>
      </c>
      <c r="E53" s="5">
        <f t="shared" si="52"/>
        <v>-25.70754717</v>
      </c>
    </row>
    <row r="54" ht="15.75" customHeight="1">
      <c r="A54" s="4" t="s">
        <v>64</v>
      </c>
      <c r="B54" s="4">
        <v>996.61</v>
      </c>
      <c r="C54" s="1">
        <f>VLOOKUP(A54, Sheet1!A:B, 2, FALSE)</f>
        <v>36.1</v>
      </c>
      <c r="D54" s="5">
        <f t="shared" ref="D54:E54" si="53">(B54-B$18)*100/B$18</f>
        <v>-69.68099347</v>
      </c>
      <c r="E54" s="5">
        <f t="shared" si="53"/>
        <v>-14.85849057</v>
      </c>
    </row>
    <row r="55" ht="15.75" customHeight="1">
      <c r="A55" s="4" t="s">
        <v>65</v>
      </c>
      <c r="B55" s="4">
        <v>930.84</v>
      </c>
      <c r="C55" s="1">
        <f>VLOOKUP(A55, Sheet1!A:B, 2, FALSE)</f>
        <v>24.3</v>
      </c>
      <c r="D55" s="5">
        <f t="shared" ref="D55:E55" si="54">(B55-B$18)*100/B$18</f>
        <v>-71.68185745</v>
      </c>
      <c r="E55" s="5">
        <f t="shared" si="54"/>
        <v>-42.68867925</v>
      </c>
    </row>
    <row r="56" ht="15.75" customHeight="1">
      <c r="A56" s="4" t="s">
        <v>66</v>
      </c>
      <c r="B56" s="4">
        <v>927.5</v>
      </c>
      <c r="C56" s="1">
        <f>VLOOKUP(A56, Sheet1!A:B, 2, FALSE)</f>
        <v>34.4</v>
      </c>
      <c r="D56" s="5">
        <f t="shared" ref="D56:E56" si="55">(B56-B$18)*100/B$18</f>
        <v>-71.78346739</v>
      </c>
      <c r="E56" s="5">
        <f t="shared" si="55"/>
        <v>-18.86792453</v>
      </c>
    </row>
    <row r="57" ht="15.75" customHeight="1">
      <c r="A57" s="4" t="s">
        <v>67</v>
      </c>
      <c r="B57" s="4">
        <v>920.03</v>
      </c>
      <c r="C57" s="1">
        <f>VLOOKUP(A57, Sheet1!A:B, 2, FALSE)</f>
        <v>26.8</v>
      </c>
      <c r="D57" s="5">
        <f t="shared" ref="D57:E57" si="56">(B57-B$18)*100/B$18</f>
        <v>-72.01072076</v>
      </c>
      <c r="E57" s="5">
        <f t="shared" si="56"/>
        <v>-36.79245283</v>
      </c>
    </row>
    <row r="58" ht="15.75" customHeight="1">
      <c r="A58" s="4" t="s">
        <v>68</v>
      </c>
      <c r="B58" s="4">
        <v>897.13</v>
      </c>
      <c r="C58" s="1">
        <f>VLOOKUP(A58, Sheet1!A:B, 2, FALSE)</f>
        <v>33.3</v>
      </c>
      <c r="D58" s="5">
        <f t="shared" ref="D58:E58" si="57">(B58-B$18)*100/B$18</f>
        <v>-72.70738771</v>
      </c>
      <c r="E58" s="5">
        <f t="shared" si="57"/>
        <v>-21.46226415</v>
      </c>
    </row>
    <row r="59" ht="15.75" customHeight="1">
      <c r="A59" s="4" t="s">
        <v>69</v>
      </c>
      <c r="B59" s="4">
        <v>888.27</v>
      </c>
      <c r="C59" s="1">
        <f>VLOOKUP(A59, Sheet1!A:B, 2, FALSE)</f>
        <v>25.4</v>
      </c>
      <c r="D59" s="5">
        <f t="shared" ref="D59:E59" si="58">(B59-B$18)*100/B$18</f>
        <v>-72.97692785</v>
      </c>
      <c r="E59" s="5">
        <f t="shared" si="58"/>
        <v>-40.09433962</v>
      </c>
    </row>
    <row r="60" ht="15.75" customHeight="1">
      <c r="A60" s="4" t="s">
        <v>70</v>
      </c>
      <c r="B60" s="4">
        <v>826.22</v>
      </c>
      <c r="C60" s="1">
        <f>VLOOKUP(A60, Sheet1!A:B, 2, FALSE)</f>
        <v>25.4</v>
      </c>
      <c r="D60" s="5">
        <f t="shared" ref="D60:E60" si="59">(B60-B$18)*100/B$18</f>
        <v>-74.86462149</v>
      </c>
      <c r="E60" s="5">
        <f t="shared" si="59"/>
        <v>-40.09433962</v>
      </c>
    </row>
    <row r="61" ht="15.75" customHeight="1">
      <c r="A61" s="4" t="s">
        <v>71</v>
      </c>
      <c r="B61" s="4">
        <v>823.76</v>
      </c>
      <c r="C61" s="1">
        <f>VLOOKUP(A61, Sheet1!A:B, 2, FALSE)</f>
        <v>13.1</v>
      </c>
      <c r="D61" s="5">
        <f t="shared" ref="D61:E61" si="60">(B61-B$18)*100/B$18</f>
        <v>-74.93945995</v>
      </c>
      <c r="E61" s="5">
        <f t="shared" si="60"/>
        <v>-69.10377358</v>
      </c>
    </row>
    <row r="62" ht="15.75" customHeight="1">
      <c r="A62" s="4" t="s">
        <v>72</v>
      </c>
      <c r="B62" s="4">
        <v>792.5</v>
      </c>
      <c r="C62" s="1">
        <f>VLOOKUP(A62, Sheet1!A:B, 2, FALSE)</f>
        <v>15.8</v>
      </c>
      <c r="D62" s="5">
        <f t="shared" ref="D62:E62" si="61">(B62-B$18)*100/B$18</f>
        <v>-75.89045597</v>
      </c>
      <c r="E62" s="5">
        <f t="shared" si="61"/>
        <v>-62.73584906</v>
      </c>
    </row>
    <row r="63" ht="15.75" customHeight="1">
      <c r="A63" s="4" t="s">
        <v>73</v>
      </c>
      <c r="B63" s="4">
        <v>791.88</v>
      </c>
      <c r="C63" s="1">
        <f>VLOOKUP(A63, Sheet1!A:B, 2, FALSE)</f>
        <v>25</v>
      </c>
      <c r="D63" s="5">
        <f t="shared" ref="D63:E63" si="62">(B63-B$18)*100/B$18</f>
        <v>-75.90931769</v>
      </c>
      <c r="E63" s="5">
        <f t="shared" si="62"/>
        <v>-41.03773585</v>
      </c>
    </row>
    <row r="64" ht="15.75" customHeight="1">
      <c r="A64" s="4" t="s">
        <v>74</v>
      </c>
      <c r="B64" s="4">
        <v>774.99</v>
      </c>
      <c r="C64" s="1">
        <f>VLOOKUP(A64, Sheet1!A:B, 2, FALSE)</f>
        <v>20.3</v>
      </c>
      <c r="D64" s="5">
        <f t="shared" ref="D64:E64" si="63">(B64-B$18)*100/B$18</f>
        <v>-76.4231476</v>
      </c>
      <c r="E64" s="5">
        <f t="shared" si="63"/>
        <v>-52.12264151</v>
      </c>
    </row>
    <row r="65" ht="15.75" customHeight="1">
      <c r="A65" s="4" t="s">
        <v>75</v>
      </c>
      <c r="B65" s="4">
        <v>741.51</v>
      </c>
      <c r="C65" s="1">
        <f>VLOOKUP(A65, Sheet1!A:B, 2, FALSE)</f>
        <v>24.1</v>
      </c>
      <c r="D65" s="5">
        <f t="shared" ref="D65:E65" si="64">(B65-B$18)*100/B$18</f>
        <v>-77.44168076</v>
      </c>
      <c r="E65" s="5">
        <f t="shared" si="64"/>
        <v>-43.16037736</v>
      </c>
    </row>
    <row r="66" ht="15.75" customHeight="1">
      <c r="A66" s="4" t="s">
        <v>76</v>
      </c>
      <c r="B66" s="4">
        <v>716.25</v>
      </c>
      <c r="C66" s="1">
        <f>VLOOKUP(A66, Sheet1!A:B, 2, FALSE)</f>
        <v>24.1</v>
      </c>
      <c r="D66" s="5">
        <f t="shared" ref="D66:E66" si="65">(B66-B$18)*100/B$18</f>
        <v>-78.21014396</v>
      </c>
      <c r="E66" s="5">
        <f t="shared" si="65"/>
        <v>-43.16037736</v>
      </c>
    </row>
    <row r="67" ht="15.75" customHeight="1">
      <c r="A67" s="4" t="s">
        <v>77</v>
      </c>
      <c r="B67" s="4">
        <v>703.0</v>
      </c>
      <c r="C67" s="1">
        <f>VLOOKUP(A67, Sheet1!A:B, 2, FALSE)</f>
        <v>19.9</v>
      </c>
      <c r="D67" s="5">
        <f t="shared" ref="D67:E67" si="66">(B67-B$18)*100/B$18</f>
        <v>-78.61323728</v>
      </c>
      <c r="E67" s="5">
        <f t="shared" si="66"/>
        <v>-53.06603774</v>
      </c>
    </row>
    <row r="68" ht="15.75" customHeight="1">
      <c r="A68" s="4" t="s">
        <v>78</v>
      </c>
      <c r="B68" s="4">
        <v>691.2</v>
      </c>
      <c r="C68" s="1">
        <f>VLOOKUP(A68, Sheet1!A:B, 2, FALSE)</f>
        <v>27.4</v>
      </c>
      <c r="D68" s="5">
        <f t="shared" ref="D68:E68" si="67">(B68-B$18)*100/B$18</f>
        <v>-78.9722185</v>
      </c>
      <c r="E68" s="5">
        <f t="shared" si="67"/>
        <v>-35.37735849</v>
      </c>
    </row>
    <row r="69" ht="15.75" customHeight="1">
      <c r="A69" s="4" t="s">
        <v>79</v>
      </c>
      <c r="B69" s="4">
        <v>644.82</v>
      </c>
      <c r="C69" s="1">
        <f>VLOOKUP(A69, Sheet1!A:B, 2, FALSE)</f>
        <v>22.7</v>
      </c>
      <c r="D69" s="5">
        <f t="shared" ref="D69:E69" si="68">(B69-B$18)*100/B$18</f>
        <v>-80.38319724</v>
      </c>
      <c r="E69" s="5">
        <f t="shared" si="68"/>
        <v>-46.46226415</v>
      </c>
    </row>
    <row r="70" ht="15.75" customHeight="1">
      <c r="A70" s="4" t="s">
        <v>80</v>
      </c>
      <c r="B70" s="4">
        <v>644.53</v>
      </c>
      <c r="C70" s="1">
        <f>VLOOKUP(A70, Sheet1!A:B, 2, FALSE)</f>
        <v>19.4</v>
      </c>
      <c r="D70" s="5">
        <f t="shared" ref="D70:E70" si="69">(B70-B$18)*100/B$18</f>
        <v>-80.39201966</v>
      </c>
      <c r="E70" s="5">
        <f t="shared" si="69"/>
        <v>-54.24528302</v>
      </c>
    </row>
    <row r="71" ht="15.75" customHeight="1">
      <c r="A71" s="4" t="s">
        <v>81</v>
      </c>
      <c r="B71" s="4">
        <v>632.23</v>
      </c>
      <c r="C71" s="1">
        <f>VLOOKUP(A71, Sheet1!A:B, 2, FALSE)</f>
        <v>24.1</v>
      </c>
      <c r="D71" s="5">
        <f t="shared" ref="D71:E71" si="70">(B71-B$18)*100/B$18</f>
        <v>-80.76621196</v>
      </c>
      <c r="E71" s="5">
        <f t="shared" si="70"/>
        <v>-43.16037736</v>
      </c>
    </row>
    <row r="72" ht="15.75" customHeight="1">
      <c r="A72" s="4" t="s">
        <v>82</v>
      </c>
      <c r="B72" s="4">
        <v>626.51</v>
      </c>
      <c r="C72" s="1">
        <f>VLOOKUP(A72, Sheet1!A:B, 2, FALSE)</f>
        <v>17.8</v>
      </c>
      <c r="D72" s="5">
        <f t="shared" ref="D72:E72" si="71">(B72-B$18)*100/B$18</f>
        <v>-80.94022658</v>
      </c>
      <c r="E72" s="5">
        <f t="shared" si="71"/>
        <v>-58.01886792</v>
      </c>
    </row>
    <row r="73" ht="15.75" customHeight="1">
      <c r="A73" s="4" t="s">
        <v>83</v>
      </c>
      <c r="B73" s="4">
        <v>562.5</v>
      </c>
      <c r="C73" s="1">
        <f>VLOOKUP(A73, Sheet1!A:B, 2, FALSE)</f>
        <v>27.7</v>
      </c>
      <c r="D73" s="5">
        <f t="shared" ref="D73:E73" si="72">(B73-B$18)*100/B$18</f>
        <v>-82.88754761</v>
      </c>
      <c r="E73" s="5">
        <f t="shared" si="72"/>
        <v>-34.66981132</v>
      </c>
    </row>
    <row r="74" ht="15.75" customHeight="1">
      <c r="A74" s="4" t="s">
        <v>84</v>
      </c>
      <c r="B74" s="4">
        <v>557.97</v>
      </c>
      <c r="C74" s="1">
        <f>VLOOKUP(A74, Sheet1!A:B, 2, FALSE)</f>
        <v>29.9</v>
      </c>
      <c r="D74" s="5">
        <f t="shared" ref="D74:E74" si="73">(B74-B$18)*100/B$18</f>
        <v>-83.02535989</v>
      </c>
      <c r="E74" s="5">
        <f t="shared" si="73"/>
        <v>-29.48113208</v>
      </c>
    </row>
    <row r="75" ht="15.75" customHeight="1">
      <c r="A75" s="4" t="s">
        <v>85</v>
      </c>
      <c r="B75" s="4">
        <v>557.94</v>
      </c>
      <c r="C75" s="1">
        <f>VLOOKUP(A75, Sheet1!A:B, 2, FALSE)</f>
        <v>24.3</v>
      </c>
      <c r="D75" s="5">
        <f t="shared" ref="D75:E75" si="74">(B75-B$18)*100/B$18</f>
        <v>-83.02627256</v>
      </c>
      <c r="E75" s="5">
        <f t="shared" si="74"/>
        <v>-42.68867925</v>
      </c>
    </row>
    <row r="76" ht="15.75" customHeight="1">
      <c r="A76" s="4" t="s">
        <v>86</v>
      </c>
      <c r="B76" s="4">
        <v>539.49</v>
      </c>
      <c r="C76" s="1">
        <f>VLOOKUP(A76, Sheet1!A:B, 2, FALSE)</f>
        <v>22.6</v>
      </c>
      <c r="D76" s="5">
        <f t="shared" ref="D76:E76" si="75">(B76-B$18)*100/B$18</f>
        <v>-83.587561</v>
      </c>
      <c r="E76" s="5">
        <f t="shared" si="75"/>
        <v>-46.69811321</v>
      </c>
    </row>
    <row r="77" ht="15.75" customHeight="1">
      <c r="A77" s="4" t="s">
        <v>87</v>
      </c>
      <c r="B77" s="4">
        <v>530.59</v>
      </c>
      <c r="C77" s="1">
        <f>VLOOKUP(A77, Sheet1!A:B, 2, FALSE)</f>
        <v>20.5</v>
      </c>
      <c r="D77" s="5">
        <f t="shared" ref="D77:E77" si="76">(B77-B$18)*100/B$18</f>
        <v>-83.85831802</v>
      </c>
      <c r="E77" s="5">
        <f t="shared" si="76"/>
        <v>-51.6509434</v>
      </c>
    </row>
    <row r="78" ht="15.75" customHeight="1">
      <c r="A78" s="4" t="s">
        <v>88</v>
      </c>
      <c r="B78" s="4">
        <v>527.49</v>
      </c>
      <c r="C78" s="1">
        <f>VLOOKUP(A78, Sheet1!A:B, 2, FALSE)</f>
        <v>17.3</v>
      </c>
      <c r="D78" s="5">
        <f t="shared" ref="D78:E78" si="77">(B78-B$18)*100/B$18</f>
        <v>-83.95262665</v>
      </c>
      <c r="E78" s="5">
        <f t="shared" si="77"/>
        <v>-59.19811321</v>
      </c>
    </row>
    <row r="79" ht="15.75" customHeight="1">
      <c r="A79" s="4" t="s">
        <v>89</v>
      </c>
      <c r="B79" s="4">
        <v>512.56</v>
      </c>
      <c r="C79" s="1">
        <f>VLOOKUP(A79, Sheet1!A:B, 2, FALSE)</f>
        <v>17.4</v>
      </c>
      <c r="D79" s="5">
        <f t="shared" ref="D79:E79" si="78">(B79-B$18)*100/B$18</f>
        <v>-84.40682916</v>
      </c>
      <c r="E79" s="5">
        <f t="shared" si="78"/>
        <v>-58.96226415</v>
      </c>
    </row>
    <row r="80" ht="15.75" customHeight="1">
      <c r="A80" s="4" t="s">
        <v>90</v>
      </c>
      <c r="B80" s="4">
        <v>509.62</v>
      </c>
      <c r="C80" s="1">
        <f>VLOOKUP(A80, Sheet1!A:B, 2, FALSE)</f>
        <v>20.3</v>
      </c>
      <c r="D80" s="5">
        <f t="shared" ref="D80:E80" si="79">(B80-B$18)*100/B$18</f>
        <v>-84.49627025</v>
      </c>
      <c r="E80" s="5">
        <f t="shared" si="79"/>
        <v>-52.12264151</v>
      </c>
    </row>
    <row r="81" ht="15.75" customHeight="1">
      <c r="A81" s="4" t="s">
        <v>91</v>
      </c>
      <c r="B81" s="4">
        <v>497.47</v>
      </c>
      <c r="C81" s="1">
        <f>VLOOKUP(A81, Sheet1!A:B, 2, FALSE)</f>
        <v>18.2</v>
      </c>
      <c r="D81" s="5">
        <f t="shared" ref="D81:E81" si="80">(B81-B$18)*100/B$18</f>
        <v>-84.86589922</v>
      </c>
      <c r="E81" s="5">
        <f t="shared" si="80"/>
        <v>-57.0754717</v>
      </c>
    </row>
    <row r="82" ht="15.75" customHeight="1">
      <c r="A82" s="4" t="s">
        <v>92</v>
      </c>
      <c r="B82" s="4">
        <v>485.26</v>
      </c>
      <c r="C82" s="1">
        <f>VLOOKUP(A82, Sheet1!A:B, 2, FALSE)</f>
        <v>17.1</v>
      </c>
      <c r="D82" s="5">
        <f t="shared" ref="D82:E82" si="81">(B82-B$18)*100/B$18</f>
        <v>-85.23735352</v>
      </c>
      <c r="E82" s="5">
        <f t="shared" si="81"/>
        <v>-59.66981132</v>
      </c>
    </row>
    <row r="83" ht="15.75" customHeight="1">
      <c r="A83" s="4" t="s">
        <v>93</v>
      </c>
      <c r="B83" s="4">
        <v>478.72</v>
      </c>
      <c r="C83" s="1">
        <f>VLOOKUP(A83, Sheet1!A:B, 2, FALSE)</f>
        <v>18.3</v>
      </c>
      <c r="D83" s="5">
        <f t="shared" ref="D83:E83" si="82">(B83-B$18)*100/B$18</f>
        <v>-85.4363143</v>
      </c>
      <c r="E83" s="5">
        <f t="shared" si="82"/>
        <v>-56.83962264</v>
      </c>
    </row>
    <row r="84" ht="15.75" customHeight="1">
      <c r="A84" s="4" t="s">
        <v>94</v>
      </c>
      <c r="B84" s="4">
        <v>469.0</v>
      </c>
      <c r="C84" s="1">
        <f>VLOOKUP(A84, Sheet1!A:B, 2, FALSE)</f>
        <v>18.8</v>
      </c>
      <c r="D84" s="5">
        <f t="shared" ref="D84:E84" si="83">(B84-B$18)*100/B$18</f>
        <v>-85.73201747</v>
      </c>
      <c r="E84" s="5">
        <f t="shared" si="83"/>
        <v>-55.66037736</v>
      </c>
    </row>
    <row r="85" ht="15.75" customHeight="1">
      <c r="A85" s="4" t="s">
        <v>95</v>
      </c>
      <c r="B85" s="4">
        <v>466.32</v>
      </c>
      <c r="C85" s="1">
        <f>VLOOKUP(A85, Sheet1!A:B, 2, FALSE)</f>
        <v>20.4</v>
      </c>
      <c r="D85" s="5">
        <f t="shared" ref="D85:E85" si="84">(B85-B$18)*100/B$18</f>
        <v>-85.8135488</v>
      </c>
      <c r="E85" s="5">
        <f t="shared" si="84"/>
        <v>-51.88679245</v>
      </c>
    </row>
    <row r="86" ht="15.75" customHeight="1">
      <c r="A86" s="4" t="s">
        <v>96</v>
      </c>
      <c r="B86" s="4">
        <v>463.44</v>
      </c>
      <c r="C86" s="1">
        <f>VLOOKUP(A86, Sheet1!A:B, 2, FALSE)</f>
        <v>18.9</v>
      </c>
      <c r="D86" s="5">
        <f t="shared" ref="D86:E86" si="85">(B86-B$18)*100/B$18</f>
        <v>-85.90116456</v>
      </c>
      <c r="E86" s="5">
        <f t="shared" si="85"/>
        <v>-55.4245283</v>
      </c>
    </row>
    <row r="87" ht="15.75" customHeight="1">
      <c r="A87" s="4" t="s">
        <v>97</v>
      </c>
      <c r="B87" s="4">
        <v>462.55</v>
      </c>
      <c r="C87" s="1">
        <f>VLOOKUP(A87, Sheet1!A:B, 2, FALSE)</f>
        <v>23.5</v>
      </c>
      <c r="D87" s="5">
        <f t="shared" ref="D87:E87" si="86">(B87-B$18)*100/B$18</f>
        <v>-85.92824026</v>
      </c>
      <c r="E87" s="5">
        <f t="shared" si="86"/>
        <v>-44.5754717</v>
      </c>
    </row>
    <row r="88" ht="15.75" customHeight="1">
      <c r="A88" s="4" t="s">
        <v>98</v>
      </c>
      <c r="B88" s="4">
        <v>427.57</v>
      </c>
      <c r="C88" s="1">
        <f>VLOOKUP(A88, Sheet1!A:B, 2, FALSE)</f>
        <v>18.1</v>
      </c>
      <c r="D88" s="5">
        <f t="shared" ref="D88:E88" si="87">(B88-B$18)*100/B$18</f>
        <v>-86.99240663</v>
      </c>
      <c r="E88" s="5">
        <f t="shared" si="87"/>
        <v>-57.31132075</v>
      </c>
    </row>
    <row r="89" ht="15.75" customHeight="1">
      <c r="A89" s="4" t="s">
        <v>99</v>
      </c>
      <c r="B89" s="4">
        <v>381.98</v>
      </c>
      <c r="C89" s="1">
        <f>VLOOKUP(A89, Sheet1!A:B, 2, FALSE)</f>
        <v>18.9</v>
      </c>
      <c r="D89" s="5">
        <f t="shared" ref="D89:E89" si="88">(B89-B$18)*100/B$18</f>
        <v>-88.37935189</v>
      </c>
      <c r="E89" s="5">
        <f t="shared" si="88"/>
        <v>-55.4245283</v>
      </c>
    </row>
    <row r="90" ht="15.75" customHeight="1">
      <c r="A90" s="4" t="s">
        <v>100</v>
      </c>
      <c r="B90" s="4">
        <v>377.54</v>
      </c>
      <c r="C90" s="1">
        <f>VLOOKUP(A90, Sheet1!A:B, 2, FALSE)</f>
        <v>16.6</v>
      </c>
      <c r="D90" s="5">
        <f t="shared" ref="D90:E90" si="89">(B90-B$18)*100/B$18</f>
        <v>-88.51442618</v>
      </c>
      <c r="E90" s="5">
        <f t="shared" si="89"/>
        <v>-60.8490566</v>
      </c>
    </row>
    <row r="91" ht="15.75" customHeight="1">
      <c r="A91" s="4" t="s">
        <v>101</v>
      </c>
      <c r="B91" s="4">
        <v>367.77</v>
      </c>
      <c r="C91" s="1">
        <f>VLOOKUP(A91, Sheet1!A:B, 2, FALSE)</f>
        <v>19.1</v>
      </c>
      <c r="D91" s="5">
        <f t="shared" ref="D91:E91" si="90">(B91-B$18)*100/B$18</f>
        <v>-88.81165046</v>
      </c>
      <c r="E91" s="5">
        <f t="shared" si="90"/>
        <v>-54.95283019</v>
      </c>
    </row>
    <row r="92" ht="15.75" customHeight="1">
      <c r="A92" s="4" t="s">
        <v>102</v>
      </c>
      <c r="B92" s="4">
        <v>355.56</v>
      </c>
      <c r="C92" s="1">
        <f>VLOOKUP(A92, Sheet1!A:B, 2, FALSE)</f>
        <v>23.1</v>
      </c>
      <c r="D92" s="5">
        <f t="shared" ref="D92:E92" si="91">(B92-B$18)*100/B$18</f>
        <v>-89.18310476</v>
      </c>
      <c r="E92" s="5">
        <f t="shared" si="91"/>
        <v>-45.51886792</v>
      </c>
    </row>
    <row r="93" ht="15.75" customHeight="1">
      <c r="A93" s="4" t="s">
        <v>103</v>
      </c>
      <c r="B93" s="4">
        <v>347.57</v>
      </c>
      <c r="C93" s="1">
        <f>VLOOKUP(A93, Sheet1!A:B, 2, FALSE)</f>
        <v>12.1</v>
      </c>
      <c r="D93" s="5">
        <f t="shared" ref="D93:E93" si="92">(B93-B$18)*100/B$18</f>
        <v>-89.42617764</v>
      </c>
      <c r="E93" s="5">
        <f t="shared" si="92"/>
        <v>-71.46226415</v>
      </c>
    </row>
    <row r="94" ht="15.75" customHeight="1">
      <c r="A94" s="4" t="s">
        <v>104</v>
      </c>
      <c r="B94" s="4">
        <v>325.8</v>
      </c>
      <c r="C94" s="1">
        <f>VLOOKUP(A94, Sheet1!A:B, 2, FALSE)</f>
        <v>17.1</v>
      </c>
      <c r="D94" s="5">
        <f t="shared" ref="D94:E94" si="93">(B94-B$18)*100/B$18</f>
        <v>-90.08846758</v>
      </c>
      <c r="E94" s="5">
        <f t="shared" si="93"/>
        <v>-59.66981132</v>
      </c>
    </row>
    <row r="95" ht="15.75" customHeight="1">
      <c r="A95" s="4" t="s">
        <v>105</v>
      </c>
      <c r="B95" s="4">
        <v>324.92</v>
      </c>
      <c r="C95" s="1">
        <f>VLOOKUP(A95, Sheet1!A:B, 2, FALSE)</f>
        <v>16.3</v>
      </c>
      <c r="D95" s="5">
        <f t="shared" ref="D95:E95" si="94">(B95-B$18)*100/B$18</f>
        <v>-90.11523906</v>
      </c>
      <c r="E95" s="5">
        <f t="shared" si="94"/>
        <v>-61.55660377</v>
      </c>
    </row>
    <row r="96" ht="15.75" customHeight="1">
      <c r="A96" s="4" t="s">
        <v>106</v>
      </c>
      <c r="B96" s="4">
        <v>318.86</v>
      </c>
      <c r="C96" s="1">
        <f>VLOOKUP(A96, Sheet1!A:B, 2, FALSE)</f>
        <v>19.1</v>
      </c>
      <c r="D96" s="5">
        <f t="shared" ref="D96:E96" si="95">(B96-B$18)*100/B$18</f>
        <v>-90.29959721</v>
      </c>
      <c r="E96" s="5">
        <f t="shared" si="95"/>
        <v>-54.95283019</v>
      </c>
    </row>
    <row r="97" ht="15.75" customHeight="1">
      <c r="A97" s="4" t="s">
        <v>107</v>
      </c>
      <c r="B97" s="4">
        <v>311.09</v>
      </c>
      <c r="C97" s="1">
        <f>VLOOKUP(A97, Sheet1!A:B, 2, FALSE)</f>
        <v>15.2</v>
      </c>
      <c r="D97" s="5">
        <f t="shared" ref="D97:E97" si="96">(B97-B$18)*100/B$18</f>
        <v>-90.53597722</v>
      </c>
      <c r="E97" s="5">
        <f t="shared" si="96"/>
        <v>-64.1509434</v>
      </c>
    </row>
    <row r="98" ht="15.75" customHeight="1">
      <c r="A98" s="4" t="s">
        <v>108</v>
      </c>
      <c r="B98" s="4">
        <v>271.78</v>
      </c>
      <c r="C98" s="1">
        <f>VLOOKUP(A98, Sheet1!A:B, 2, FALSE)</f>
        <v>12.7</v>
      </c>
      <c r="D98" s="5">
        <f t="shared" ref="D98:E98" si="97">(B98-B$18)*100/B$18</f>
        <v>-91.73187145</v>
      </c>
      <c r="E98" s="5">
        <f t="shared" si="97"/>
        <v>-70.04716981</v>
      </c>
    </row>
    <row r="99" ht="15.75" customHeight="1">
      <c r="A99" s="4" t="s">
        <v>109</v>
      </c>
      <c r="B99" s="4">
        <v>253.36</v>
      </c>
      <c r="C99" s="1">
        <f>VLOOKUP(A99, Sheet1!A:B, 2, FALSE)</f>
        <v>16.8</v>
      </c>
      <c r="D99" s="5">
        <f t="shared" ref="D99:E99" si="98">(B99-B$18)*100/B$18</f>
        <v>-92.29224722</v>
      </c>
      <c r="E99" s="5">
        <f t="shared" si="98"/>
        <v>-60.37735849</v>
      </c>
    </row>
    <row r="100" ht="15.75" customHeight="1">
      <c r="A100" s="4" t="s">
        <v>110</v>
      </c>
      <c r="B100" s="4">
        <v>243.75</v>
      </c>
      <c r="C100" s="1">
        <f>VLOOKUP(A100, Sheet1!A:B, 2, FALSE)</f>
        <v>22.6</v>
      </c>
      <c r="D100" s="5">
        <f t="shared" ref="D100:E100" si="99">(B100-B$18)*100/B$18</f>
        <v>-92.58460396</v>
      </c>
      <c r="E100" s="5">
        <f t="shared" si="99"/>
        <v>-46.69811321</v>
      </c>
    </row>
    <row r="101" ht="15.75" customHeight="1">
      <c r="A101" s="4" t="s">
        <v>111</v>
      </c>
      <c r="B101" s="4">
        <v>228.51</v>
      </c>
      <c r="C101" s="1">
        <f>VLOOKUP(A101, Sheet1!A:B, 2, FALSE)</f>
        <v>14.1</v>
      </c>
      <c r="D101" s="5">
        <f t="shared" ref="D101:E101" si="100">(B101-B$18)*100/B$18</f>
        <v>-93.04823734</v>
      </c>
      <c r="E101" s="5">
        <f t="shared" si="100"/>
        <v>-66.74528302</v>
      </c>
    </row>
    <row r="102" ht="15.75" customHeight="1">
      <c r="A102" s="4" t="s">
        <v>112</v>
      </c>
      <c r="B102" s="4">
        <v>197.61</v>
      </c>
      <c r="C102" s="1">
        <f>VLOOKUP(A102, Sheet1!A:B, 2, FALSE)</f>
        <v>21.5</v>
      </c>
      <c r="D102" s="5">
        <f t="shared" ref="D102:E102" si="101">(B102-B$18)*100/B$18</f>
        <v>-93.98828139</v>
      </c>
      <c r="E102" s="5">
        <f t="shared" si="101"/>
        <v>-49.29245283</v>
      </c>
    </row>
    <row r="103" ht="15.75" customHeight="1">
      <c r="A103" s="4" t="s">
        <v>113</v>
      </c>
      <c r="B103" s="4">
        <v>189.88</v>
      </c>
      <c r="C103" s="1">
        <f>VLOOKUP(A103, Sheet1!A:B, 2, FALSE)</f>
        <v>22.4</v>
      </c>
      <c r="D103" s="5">
        <f t="shared" ref="D103:E103" si="102">(B103-B$18)*100/B$18</f>
        <v>-94.22344452</v>
      </c>
      <c r="E103" s="5">
        <f t="shared" si="102"/>
        <v>-47.16981132</v>
      </c>
    </row>
    <row r="104" ht="15.75" customHeight="1">
      <c r="A104" s="4" t="s">
        <v>114</v>
      </c>
      <c r="B104" s="4">
        <v>181.6</v>
      </c>
      <c r="C104" s="1">
        <f>VLOOKUP(A104, Sheet1!A:B, 2, FALSE)</f>
        <v>11.2</v>
      </c>
      <c r="D104" s="5">
        <f t="shared" ref="D104:E104" si="103">(B104-B$18)*100/B$18</f>
        <v>-94.47533982</v>
      </c>
      <c r="E104" s="5">
        <f t="shared" si="103"/>
        <v>-73.58490566</v>
      </c>
    </row>
    <row r="105" ht="15.75" customHeight="1">
      <c r="A105" s="4" t="s">
        <v>115</v>
      </c>
      <c r="B105" s="4">
        <v>177.32</v>
      </c>
      <c r="C105" s="1">
        <f>VLOOKUP(A105, Sheet1!A:B, 2, FALSE)</f>
        <v>18.2</v>
      </c>
      <c r="D105" s="5">
        <f t="shared" ref="D105:E105" si="104">(B105-B$18)*100/B$18</f>
        <v>-94.60554656</v>
      </c>
      <c r="E105" s="5">
        <f t="shared" si="104"/>
        <v>-57.0754717</v>
      </c>
    </row>
    <row r="106" ht="15.75" customHeight="1">
      <c r="A106" s="4" t="s">
        <v>116</v>
      </c>
      <c r="B106" s="4">
        <v>147.61</v>
      </c>
      <c r="C106" s="1">
        <f>VLOOKUP(A106, Sheet1!A:B, 2, FALSE)</f>
        <v>12.2</v>
      </c>
      <c r="D106" s="5">
        <f t="shared" ref="D106:E106" si="105">(B106-B$18)*100/B$18</f>
        <v>-95.50938827</v>
      </c>
      <c r="E106" s="5">
        <f t="shared" si="105"/>
        <v>-71.22641509</v>
      </c>
    </row>
    <row r="107" ht="15.75" customHeight="1">
      <c r="A107" s="4" t="s">
        <v>117</v>
      </c>
      <c r="B107" s="4">
        <v>122.75</v>
      </c>
      <c r="C107" s="1">
        <f>VLOOKUP(A107, Sheet1!A:B, 2, FALSE)</f>
        <v>24.4</v>
      </c>
      <c r="D107" s="5">
        <f t="shared" ref="D107:E107" si="106">(B107-B$18)*100/B$18</f>
        <v>-96.26568261</v>
      </c>
      <c r="E107" s="5">
        <f t="shared" si="106"/>
        <v>-42.45283019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2025-01-10T19:34:38Z</dcterms:created>
  <dc:creator>David Landholm</dc:creator>
</cp:coreProperties>
</file>