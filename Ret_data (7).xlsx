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y" sheetId="1" state="visible" r:id="rId3"/>
    <sheet name="Safety" sheetId="2" state="visible" r:id="rId4"/>
    <sheet name="Health" sheetId="3" state="visible" r:id="rId5"/>
    <sheet name="Political" sheetId="4" state="visible" r:id="rId6"/>
    <sheet name="Pollution" sheetId="5" state="visible" r:id="rId7"/>
    <sheet name="Climate" sheetId="6" state="visible" r:id="rId8"/>
    <sheet name="English" sheetId="7" state="visible" r:id="rId9"/>
    <sheet name="Openness" sheetId="8" state="visible" r:id="rId10"/>
    <sheet name="Scenic" sheetId="9" state="visible" r:id="rId11"/>
    <sheet name="Disaster" sheetId="10" state="visible" r:id="rId12"/>
    <sheet name="LifeExp60" sheetId="11" state="visible" r:id="rId13"/>
    <sheet name="CGT" sheetId="12" state="visible" r:id="rId14"/>
    <sheet name="Sheet1" sheetId="13" state="visible" r:id="rId15"/>
    <sheet name="Sheet2" sheetId="14" state="visible" r:id="rId16"/>
    <sheet name="Salary" sheetId="15" state="visible" r:id="rId17"/>
    <sheet name="Not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<sst xmlns="http://schemas.openxmlformats.org/spreadsheetml/2006/main" count="4291" uniqueCount="617">
  <si>
    <t xml:space="preserve">Country</t>
  </si>
  <si>
    <t xml:space="preserve">Cost of Living</t>
  </si>
  <si>
    <t xml:space="preserve">Safety</t>
  </si>
  <si>
    <t xml:space="preserve">Healthcare</t>
  </si>
  <si>
    <t xml:space="preserve">Political Stability</t>
  </si>
  <si>
    <t xml:space="preserve">Pollution</t>
  </si>
  <si>
    <t xml:space="preserve">Climate</t>
  </si>
  <si>
    <t xml:space="preserve">English Proficiency</t>
  </si>
  <si>
    <t xml:space="preserve">Openness</t>
  </si>
  <si>
    <t xml:space="preserve">Natural Scenery</t>
  </si>
  <si>
    <t xml:space="preserve">Natural Disaster</t>
  </si>
  <si>
    <t xml:space="preserve">Life Expectancy at 60</t>
  </si>
  <si>
    <t xml:space="preserve">Switzerland</t>
  </si>
  <si>
    <t xml:space="preserve">Luxembourg</t>
  </si>
  <si>
    <t xml:space="preserve">Iceland</t>
  </si>
  <si>
    <t xml:space="preserve">Singapore</t>
  </si>
  <si>
    <t xml:space="preserve">Norway</t>
  </si>
  <si>
    <t xml:space="preserve">United States</t>
  </si>
  <si>
    <t xml:space="preserve">Denmark</t>
  </si>
  <si>
    <t xml:space="preserve">Qatar</t>
  </si>
  <si>
    <t xml:space="preserve">Australia</t>
  </si>
  <si>
    <t xml:space="preserve">Netherlands</t>
  </si>
  <si>
    <t xml:space="preserve">Israel</t>
  </si>
  <si>
    <t xml:space="preserve">United Kingdom</t>
  </si>
  <si>
    <t xml:space="preserve">Ireland</t>
  </si>
  <si>
    <t xml:space="preserve">Germany</t>
  </si>
  <si>
    <t xml:space="preserve">Hong Kong (China)</t>
  </si>
  <si>
    <t xml:space="preserve">Kuwait</t>
  </si>
  <si>
    <t xml:space="preserve">Austria</t>
  </si>
  <si>
    <t xml:space="preserve">Sweden</t>
  </si>
  <si>
    <t xml:space="preserve">Belgium</t>
  </si>
  <si>
    <t xml:space="preserve">Canada</t>
  </si>
  <si>
    <t xml:space="preserve">Finland</t>
  </si>
  <si>
    <t xml:space="preserve">United Arab Emirates</t>
  </si>
  <si>
    <t xml:space="preserve">France</t>
  </si>
  <si>
    <t xml:space="preserve">New Zealand</t>
  </si>
  <si>
    <t xml:space="preserve">Puerto Rico</t>
  </si>
  <si>
    <t xml:space="preserve">Oman</t>
  </si>
  <si>
    <t xml:space="preserve">South Korea</t>
  </si>
  <si>
    <t xml:space="preserve">Bahrain</t>
  </si>
  <si>
    <t xml:space="preserve">Japan</t>
  </si>
  <si>
    <t xml:space="preserve">Spain</t>
  </si>
  <si>
    <t xml:space="preserve">Estonia</t>
  </si>
  <si>
    <t xml:space="preserve">Italy</t>
  </si>
  <si>
    <t xml:space="preserve">Saudi Arabia</t>
  </si>
  <si>
    <t xml:space="preserve">Cyprus</t>
  </si>
  <si>
    <t xml:space="preserve">Malta</t>
  </si>
  <si>
    <t xml:space="preserve">Czech Republic</t>
  </si>
  <si>
    <t xml:space="preserve">Taiwan</t>
  </si>
  <si>
    <t xml:space="preserve">Slovenia</t>
  </si>
  <si>
    <t xml:space="preserve">Lithuania</t>
  </si>
  <si>
    <t xml:space="preserve">Poland</t>
  </si>
  <si>
    <t xml:space="preserve">Croatia</t>
  </si>
  <si>
    <t xml:space="preserve">South Africa</t>
  </si>
  <si>
    <t xml:space="preserve">Portugal</t>
  </si>
  <si>
    <t xml:space="preserve">Hungary</t>
  </si>
  <si>
    <t xml:space="preserve">Slovakia</t>
  </si>
  <si>
    <t xml:space="preserve">Latvia</t>
  </si>
  <si>
    <t xml:space="preserve">Bulgaria</t>
  </si>
  <si>
    <t xml:space="preserve">Greece</t>
  </si>
  <si>
    <t xml:space="preserve">Uruguay</t>
  </si>
  <si>
    <t xml:space="preserve">China</t>
  </si>
  <si>
    <t xml:space="preserve">Turkey</t>
  </si>
  <si>
    <t xml:space="preserve">Costa Rica</t>
  </si>
  <si>
    <t xml:space="preserve">Montenegro</t>
  </si>
  <si>
    <t xml:space="preserve">Romania</t>
  </si>
  <si>
    <t xml:space="preserve">Russia</t>
  </si>
  <si>
    <t xml:space="preserve">Serbia</t>
  </si>
  <si>
    <t xml:space="preserve">Malaysia</t>
  </si>
  <si>
    <t xml:space="preserve">Bosnia And Herzegovina</t>
  </si>
  <si>
    <t xml:space="preserve">Panama</t>
  </si>
  <si>
    <t xml:space="preserve">Argentina</t>
  </si>
  <si>
    <t xml:space="preserve">Mauritius</t>
  </si>
  <si>
    <t xml:space="preserve">Mexico</t>
  </si>
  <si>
    <t xml:space="preserve">Moldova</t>
  </si>
  <si>
    <t xml:space="preserve">Jordan</t>
  </si>
  <si>
    <t xml:space="preserve">Albania</t>
  </si>
  <si>
    <t xml:space="preserve">Armenia</t>
  </si>
  <si>
    <t xml:space="preserve">Belarus</t>
  </si>
  <si>
    <t xml:space="preserve">North Macedonia</t>
  </si>
  <si>
    <t xml:space="preserve">Kazakhstan</t>
  </si>
  <si>
    <t xml:space="preserve">Chile</t>
  </si>
  <si>
    <t xml:space="preserve">Colombia</t>
  </si>
  <si>
    <t xml:space="preserve">Kosovo (Disputed Territory)</t>
  </si>
  <si>
    <t xml:space="preserve">Georgia</t>
  </si>
  <si>
    <t xml:space="preserve">Peru</t>
  </si>
  <si>
    <t xml:space="preserve">Thailand</t>
  </si>
  <si>
    <t xml:space="preserve">Dominican Republic</t>
  </si>
  <si>
    <t xml:space="preserve">Ecuador</t>
  </si>
  <si>
    <t xml:space="preserve">Uzbekistan</t>
  </si>
  <si>
    <t xml:space="preserve">Ukraine</t>
  </si>
  <si>
    <t xml:space="preserve">Brazil</t>
  </si>
  <si>
    <t xml:space="preserve">Iraq</t>
  </si>
  <si>
    <t xml:space="preserve">Kyrgyzstan</t>
  </si>
  <si>
    <t xml:space="preserve">Morocco</t>
  </si>
  <si>
    <t xml:space="preserve">Azerbaijan</t>
  </si>
  <si>
    <t xml:space="preserve">India</t>
  </si>
  <si>
    <t xml:space="preserve">Vietnam</t>
  </si>
  <si>
    <t xml:space="preserve">Tajikistan</t>
  </si>
  <si>
    <t xml:space="preserve">Zimbabwe</t>
  </si>
  <si>
    <t xml:space="preserve">Kenya</t>
  </si>
  <si>
    <t xml:space="preserve">Tunisia</t>
  </si>
  <si>
    <t xml:space="preserve">Philippines</t>
  </si>
  <si>
    <t xml:space="preserve">Algeria</t>
  </si>
  <si>
    <t xml:space="preserve">Bolivia</t>
  </si>
  <si>
    <t xml:space="preserve">Indonesia</t>
  </si>
  <si>
    <t xml:space="preserve">Iran</t>
  </si>
  <si>
    <t xml:space="preserve">Bangladesh</t>
  </si>
  <si>
    <t xml:space="preserve">Venezuela</t>
  </si>
  <si>
    <t xml:space="preserve">Sri Lanka</t>
  </si>
  <si>
    <t xml:space="preserve">Nepal</t>
  </si>
  <si>
    <t xml:space="preserve">Pakistan</t>
  </si>
  <si>
    <t xml:space="preserve">Egypt</t>
  </si>
  <si>
    <t xml:space="preserve">Cuba</t>
  </si>
  <si>
    <t xml:space="preserve">Bermuda</t>
  </si>
  <si>
    <t xml:space="preserve">Cayman Islands</t>
  </si>
  <si>
    <t xml:space="preserve">Bahamas</t>
  </si>
  <si>
    <t xml:space="preserve">Jersey</t>
  </si>
  <si>
    <t xml:space="preserve">Turkmenistan</t>
  </si>
  <si>
    <t xml:space="preserve">Solomon Islands</t>
  </si>
  <si>
    <t xml:space="preserve">Guernsey</t>
  </si>
  <si>
    <t xml:space="preserve">Gibraltar</t>
  </si>
  <si>
    <t xml:space="preserve">Isle Of Man</t>
  </si>
  <si>
    <t xml:space="preserve">Seychelles</t>
  </si>
  <si>
    <t xml:space="preserve">Macao (China)</t>
  </si>
  <si>
    <t xml:space="preserve">Democratic Republic of the Congo</t>
  </si>
  <si>
    <t xml:space="preserve">Jamaica</t>
  </si>
  <si>
    <t xml:space="preserve">Guyana</t>
  </si>
  <si>
    <t xml:space="preserve">Papua New Guinea</t>
  </si>
  <si>
    <t xml:space="preserve">Maldives</t>
  </si>
  <si>
    <t xml:space="preserve">Trinidad And Tobago</t>
  </si>
  <si>
    <t xml:space="preserve">Senegal</t>
  </si>
  <si>
    <t xml:space="preserve">Lebanon</t>
  </si>
  <si>
    <t xml:space="preserve">Ivory Coast</t>
  </si>
  <si>
    <t xml:space="preserve">Yemen</t>
  </si>
  <si>
    <t xml:space="preserve">Brunei</t>
  </si>
  <si>
    <t xml:space="preserve">Guatemala</t>
  </si>
  <si>
    <t xml:space="preserve">Belize</t>
  </si>
  <si>
    <t xml:space="preserve">El Salvador</t>
  </si>
  <si>
    <t xml:space="preserve">Ethiopia</t>
  </si>
  <si>
    <t xml:space="preserve">Suriname</t>
  </si>
  <si>
    <t xml:space="preserve">Fiji</t>
  </si>
  <si>
    <t xml:space="preserve">Cape Verde</t>
  </si>
  <si>
    <t xml:space="preserve">Cameroon</t>
  </si>
  <si>
    <t xml:space="preserve">Zambia</t>
  </si>
  <si>
    <t xml:space="preserve">Angola</t>
  </si>
  <si>
    <t xml:space="preserve">Namibia</t>
  </si>
  <si>
    <t xml:space="preserve">Mongolia</t>
  </si>
  <si>
    <t xml:space="preserve">Ghana</t>
  </si>
  <si>
    <t xml:space="preserve">Mozambique</t>
  </si>
  <si>
    <t xml:space="preserve">Honduras</t>
  </si>
  <si>
    <t xml:space="preserve">Myanmar</t>
  </si>
  <si>
    <t xml:space="preserve">Cambodia</t>
  </si>
  <si>
    <t xml:space="preserve">Nicaragua</t>
  </si>
  <si>
    <t xml:space="preserve">Paraguay</t>
  </si>
  <si>
    <t xml:space="preserve">Rwanda</t>
  </si>
  <si>
    <t xml:space="preserve">Botswana</t>
  </si>
  <si>
    <t xml:space="preserve">Uganda</t>
  </si>
  <si>
    <t xml:space="preserve">Tanzania</t>
  </si>
  <si>
    <t xml:space="preserve">Syria</t>
  </si>
  <si>
    <t xml:space="preserve">Nigeria</t>
  </si>
  <si>
    <t xml:space="preserve">Madagascar</t>
  </si>
  <si>
    <t xml:space="preserve">Afghanistan</t>
  </si>
  <si>
    <t xml:space="preserve">Libya</t>
  </si>
  <si>
    <t xml:space="preserve">Safety_homicide_score</t>
  </si>
  <si>
    <t xml:space="preserve">Homicide_rate_per_100k</t>
  </si>
  <si>
    <t xml:space="preserve">Year</t>
  </si>
  <si>
    <t xml:space="preserve">Active (tab 1 uses col B). Source: UNODC via Our World in Data (homicide-rate-unodc), latest year per country, downloaded Oct 2026. Score = 100*(1-LN(1+rate)/LN(1+max rate)): 100 = no homicides, higher = safer; log scale because rates are very skewed (median ~2.6, max ~76). Years older than 2015 flagged.</t>
  </si>
  <si>
    <t xml:space="preserve">Safety_2026MY</t>
  </si>
  <si>
    <t xml:space="preserve">Safety index_2025</t>
  </si>
  <si>
    <t xml:space="preserve">Numbeo. Active: 2026 Mid-Year (A:B).</t>
  </si>
  <si>
    <t xml:space="preserve">Numbeo perceived safety (2026 Mid-Year and 2025) - kept for reference, no longer used.</t>
  </si>
  <si>
    <t xml:space="preserve">American Samoa</t>
  </si>
  <si>
    <t xml:space="preserve">Andorra</t>
  </si>
  <si>
    <t xml:space="preserve">Monaco</t>
  </si>
  <si>
    <t xml:space="preserve">old data (latest year &lt; 2015)</t>
  </si>
  <si>
    <t xml:space="preserve">Montserrat</t>
  </si>
  <si>
    <t xml:space="preserve">Saint Helena</t>
  </si>
  <si>
    <t xml:space="preserve">San Marino</t>
  </si>
  <si>
    <t xml:space="preserve">Tuvalu</t>
  </si>
  <si>
    <t xml:space="preserve">Vatican</t>
  </si>
  <si>
    <t xml:space="preserve">Channel Islands figure (2010)</t>
  </si>
  <si>
    <t xml:space="preserve">Vanuatu</t>
  </si>
  <si>
    <t xml:space="preserve">French Polynesia</t>
  </si>
  <si>
    <t xml:space="preserve">Palestine</t>
  </si>
  <si>
    <t xml:space="preserve">Micronesia (country)</t>
  </si>
  <si>
    <t xml:space="preserve">Tonga</t>
  </si>
  <si>
    <t xml:space="preserve">North Korea</t>
  </si>
  <si>
    <t xml:space="preserve">Mauritania</t>
  </si>
  <si>
    <t xml:space="preserve">Guinea-Bissau</t>
  </si>
  <si>
    <t xml:space="preserve">Barbados</t>
  </si>
  <si>
    <t xml:space="preserve">Sudan</t>
  </si>
  <si>
    <t xml:space="preserve">Malawi</t>
  </si>
  <si>
    <t xml:space="preserve">Reunion</t>
  </si>
  <si>
    <t xml:space="preserve">Aruba</t>
  </si>
  <si>
    <t xml:space="preserve">Asia (UN)</t>
  </si>
  <si>
    <t xml:space="preserve">Sierra Leone</t>
  </si>
  <si>
    <t xml:space="preserve">Europe (UN)</t>
  </si>
  <si>
    <t xml:space="preserve">Bhutan</t>
  </si>
  <si>
    <t xml:space="preserve">Martinique</t>
  </si>
  <si>
    <t xml:space="preserve">Oceania (UN)</t>
  </si>
  <si>
    <t xml:space="preserve">Liberia</t>
  </si>
  <si>
    <t xml:space="preserve">New Caledonia</t>
  </si>
  <si>
    <t xml:space="preserve">Sao Tome and Principe</t>
  </si>
  <si>
    <t xml:space="preserve">Cook Islands</t>
  </si>
  <si>
    <t xml:space="preserve">Us Virgin Islands</t>
  </si>
  <si>
    <t xml:space="preserve">East Timor</t>
  </si>
  <si>
    <t xml:space="preserve">Marshall Islands</t>
  </si>
  <si>
    <t xml:space="preserve">Guam</t>
  </si>
  <si>
    <t xml:space="preserve">Niger</t>
  </si>
  <si>
    <t xml:space="preserve">Somalia</t>
  </si>
  <si>
    <t xml:space="preserve">Northern America (UN)</t>
  </si>
  <si>
    <t xml:space="preserve">Liechtenstein</t>
  </si>
  <si>
    <t xml:space="preserve">Greenland</t>
  </si>
  <si>
    <t xml:space="preserve">Burundi</t>
  </si>
  <si>
    <t xml:space="preserve">Guadeloupe</t>
  </si>
  <si>
    <t xml:space="preserve">Haiti</t>
  </si>
  <si>
    <t xml:space="preserve">Mayotte</t>
  </si>
  <si>
    <t xml:space="preserve">Samoa</t>
  </si>
  <si>
    <t xml:space="preserve">Kiribati</t>
  </si>
  <si>
    <t xml:space="preserve">British Virgin Islands</t>
  </si>
  <si>
    <t xml:space="preserve">Africa (UN)</t>
  </si>
  <si>
    <t xml:space="preserve">Antigua and Barbuda</t>
  </si>
  <si>
    <t xml:space="preserve">Palau</t>
  </si>
  <si>
    <t xml:space="preserve">Eswatini</t>
  </si>
  <si>
    <t xml:space="preserve">French Guiana</t>
  </si>
  <si>
    <t xml:space="preserve">Grenada</t>
  </si>
  <si>
    <t xml:space="preserve">South Sudan</t>
  </si>
  <si>
    <t xml:space="preserve">Eritrea</t>
  </si>
  <si>
    <t xml:space="preserve">Saint Pierre and Miquelon</t>
  </si>
  <si>
    <t xml:space="preserve">Curacao</t>
  </si>
  <si>
    <t xml:space="preserve">Latin America and the Caribbean (UN)</t>
  </si>
  <si>
    <t xml:space="preserve">Saint Martin (French part)</t>
  </si>
  <si>
    <t xml:space="preserve">Dominica</t>
  </si>
  <si>
    <t xml:space="preserve">Anguilla</t>
  </si>
  <si>
    <t xml:space="preserve">Lesotho</t>
  </si>
  <si>
    <t xml:space="preserve">Saint Lucia</t>
  </si>
  <si>
    <t xml:space="preserve">Saint Vincent and the Grenadines</t>
  </si>
  <si>
    <t xml:space="preserve">Saint Kitts and Nevis</t>
  </si>
  <si>
    <t xml:space="preserve">Turks and Caicos Islands</t>
  </si>
  <si>
    <t xml:space="preserve">Healthcare_2026MY</t>
  </si>
  <si>
    <t xml:space="preserve">Healthcare_2025</t>
  </si>
  <si>
    <t xml:space="preserve">cc</t>
  </si>
  <si>
    <t xml:space="preserve">ge</t>
  </si>
  <si>
    <t xml:space="preserve">pv</t>
  </si>
  <si>
    <t xml:space="preserve">rl</t>
  </si>
  <si>
    <t xml:space="preserve">rq</t>
  </si>
  <si>
    <t xml:space="preserve">va</t>
  </si>
  <si>
    <t xml:space="preserve">Average</t>
  </si>
  <si>
    <t xml:space="preserve">Political stability_2025: World Bank WGI 2026 release, data year 2025, "Governance score (0-100)" averaged over 6 dimensions. NOTE: WB dropped percentile ranks; this scale is not directly comparable with the 2023 block.</t>
  </si>
  <si>
    <t xml:space="preserve">Political stability_2023 (percentile ranks). Korea rows corrected.</t>
  </si>
  <si>
    <t xml:space="preserve">Bahamas, The</t>
  </si>
  <si>
    <t xml:space="preserve">Benin</t>
  </si>
  <si>
    <t xml:space="preserve">Bosnia and Herzegovina</t>
  </si>
  <si>
    <t xml:space="preserve">Brunei Darussalam</t>
  </si>
  <si>
    <t xml:space="preserve">Burkina Faso</t>
  </si>
  <si>
    <t xml:space="preserve">Central African Republic</t>
  </si>
  <si>
    <t xml:space="preserve">Chad</t>
  </si>
  <si>
    <t xml:space="preserve">Comoros</t>
  </si>
  <si>
    <t xml:space="preserve">Congo, Rep.</t>
  </si>
  <si>
    <t xml:space="preserve">Congo, Dem. Rep.</t>
  </si>
  <si>
    <t xml:space="preserve">Côte d'Ivoire</t>
  </si>
  <si>
    <t xml:space="preserve">Djibouti</t>
  </si>
  <si>
    <t xml:space="preserve">Equatorial Guinea</t>
  </si>
  <si>
    <t xml:space="preserve">Gabon</t>
  </si>
  <si>
    <t xml:space="preserve">Gambia, The</t>
  </si>
  <si>
    <t xml:space="preserve">Guinea</t>
  </si>
  <si>
    <t xml:space="preserve">Jersey, Channel Islands</t>
  </si>
  <si>
    <t xml:space="preserve">North Korea (row was mislabelled South Korea)</t>
  </si>
  <si>
    <t xml:space="preserve">Lao PDR</t>
  </si>
  <si>
    <t xml:space="preserve">Macao SAR, China</t>
  </si>
  <si>
    <t xml:space="preserve">Mali</t>
  </si>
  <si>
    <t xml:space="preserve">Micronesia, Fed. Sts.</t>
  </si>
  <si>
    <t xml:space="preserve">Nauru</t>
  </si>
  <si>
    <t xml:space="preserve">Netherlands Antilles (former)</t>
  </si>
  <si>
    <t xml:space="preserve">Niue</t>
  </si>
  <si>
    <t xml:space="preserve">Republic of Naoero</t>
  </si>
  <si>
    <t xml:space="preserve">Réunion</t>
  </si>
  <si>
    <t xml:space="preserve">St. Kitts and Nevis</t>
  </si>
  <si>
    <t xml:space="preserve">St. Lucia</t>
  </si>
  <si>
    <t xml:space="preserve">St. Vincent and the Grenadines</t>
  </si>
  <si>
    <t xml:space="preserve">Syrian Arab Republic</t>
  </si>
  <si>
    <t xml:space="preserve">São Tomé and Principe</t>
  </si>
  <si>
    <t xml:space="preserve">São Tomé and Príncipe</t>
  </si>
  <si>
    <t xml:space="preserve">Timor-Leste</t>
  </si>
  <si>
    <t xml:space="preserve">Togo</t>
  </si>
  <si>
    <t xml:space="preserve">Trinidad and Tobago</t>
  </si>
  <si>
    <t xml:space="preserve">Virgin Islands (U.S.)</t>
  </si>
  <si>
    <t xml:space="preserve">West Bank and Gaza</t>
  </si>
  <si>
    <t xml:space="preserve">Yemen, Rep.</t>
  </si>
  <si>
    <t xml:space="preserve">PM25_2023</t>
  </si>
  <si>
    <t xml:space="preserve">Active (tab 1 uses col B). PM2.5 mean annual exposure, micrograms per m3, population-weighted, modelled (satellite + ground monitors). Source: Global Burden of Disease Study 2023, IHME, via World Bank (2026), processed by Our World in Data. Lower = better.</t>
  </si>
  <si>
    <t xml:space="preserve">Pollution_2026MY</t>
  </si>
  <si>
    <t xml:space="preserve">Exp Pollution Index</t>
  </si>
  <si>
    <t xml:space="preserve">Pollution_2025</t>
  </si>
  <si>
    <t xml:space="preserve">Numbeo pollution (perception survey) 2026 Mid-Year and 2025 - kept for reference, no longer used.</t>
  </si>
  <si>
    <t xml:space="preserve">Northern Mariana Islands</t>
  </si>
  <si>
    <t xml:space="preserve">North America (WB)</t>
  </si>
  <si>
    <t xml:space="preserve">Europe and Central Asia (WB)</t>
  </si>
  <si>
    <t xml:space="preserve">Latin America and Caribbean (WB)</t>
  </si>
  <si>
    <t xml:space="preserve">Laos</t>
  </si>
  <si>
    <t xml:space="preserve">East Asia and Pacific (WB)</t>
  </si>
  <si>
    <t xml:space="preserve">Sub-Saharan Africa (WB)</t>
  </si>
  <si>
    <t xml:space="preserve">Congo</t>
  </si>
  <si>
    <t xml:space="preserve">Gambia</t>
  </si>
  <si>
    <t xml:space="preserve">Middle East, North Africa, Afghanistan and Pakistan (WB)</t>
  </si>
  <si>
    <t xml:space="preserve">South Asia (WB)</t>
  </si>
  <si>
    <t xml:space="preserve">Climate_hours</t>
  </si>
  <si>
    <t xml:space="preserve">GeoRank: comfortable outdoor hours per year (static, does not change by year). Collected for the old 106-country list only.</t>
  </si>
  <si>
    <t xml:space="preserve">Climate_2025</t>
  </si>
  <si>
    <t xml:space="preserve">Old: Numbeo climate score (0-100), no longer used.</t>
  </si>
  <si>
    <t xml:space="preserve">Country/Region</t>
  </si>
  <si>
    <t xml:space="preserve">Proficiency Band</t>
  </si>
  <si>
    <t xml:space="preserve">Score</t>
  </si>
  <si>
    <t xml:space="preserve">Band points</t>
  </si>
  <si>
    <t xml:space="preserve">Source: https://www.ef.com/wwen/epi/ EF EPI 2025. Tab 1 uses Score (col C). Native-English countries are set to 700 directly on tab 1.</t>
  </si>
  <si>
    <t xml:space="preserve">English_2024 (old)</t>
  </si>
  <si>
    <t xml:space="preserve">Very high proficiency</t>
  </si>
  <si>
    <t xml:space="preserve">High Proficiency</t>
  </si>
  <si>
    <t xml:space="preserve">High proficiency</t>
  </si>
  <si>
    <t xml:space="preserve">Moderate proficiency</t>
  </si>
  <si>
    <t xml:space="preserve">ElSalvador</t>
  </si>
  <si>
    <t xml:space="preserve">Low proficiency</t>
  </si>
  <si>
    <t xml:space="preserve">CapeVerde</t>
  </si>
  <si>
    <t xml:space="preserve">Very low proficiency</t>
  </si>
  <si>
    <t xml:space="preserve">IvoryCoast</t>
  </si>
  <si>
    <t xml:space="preserve">Very high proficiency (2024, carried over: not in EF 2025)</t>
  </si>
  <si>
    <t xml:space="preserve">High proficiency (2024, carried over: not in EF 2025)</t>
  </si>
  <si>
    <t xml:space="preserve">Openness_2024</t>
  </si>
  <si>
    <t xml:space="preserve">InterNations Expat Insider 2024, Ease of Settling In rank (1=best). Kept as active: 2026 edition ranks only 31 countries.</t>
  </si>
  <si>
    <t xml:space="preserve">Openness_2026</t>
  </si>
  <si>
    <t xml:space="preserve">Expat Insider 2026 (31 countries) - stored for reference, not used.</t>
  </si>
  <si>
    <t xml:space="preserve">Rank</t>
  </si>
  <si>
    <t xml:space="preserve">source https://www.usnews.com/news/best-countries/rankings/scenic?utm_source=chatgpt.com</t>
  </si>
  <si>
    <t xml:space="preserve">2024 data</t>
  </si>
  <si>
    <t xml:space="preserve">W</t>
  </si>
  <si>
    <t xml:space="preserve">E</t>
  </si>
  <si>
    <t xml:space="preserve">V</t>
  </si>
  <si>
    <t xml:space="preserve">StormRiskIndex</t>
  </si>
  <si>
    <t xml:space="preserve">StormRiskRank</t>
  </si>
  <si>
    <t xml:space="preserve">Disaster_2026: WorldRiskReport 2026, p.58-61. W = WorldRiskIndex (used by tab 1, col C). E = Exposure, V = Vulnerability.</t>
  </si>
  <si>
    <t xml:space="preserve">WRI.Country</t>
  </si>
  <si>
    <t xml:space="preserve">ISO3.Code</t>
  </si>
  <si>
    <t xml:space="preserve">S</t>
  </si>
  <si>
    <t xml:space="preserve">C</t>
  </si>
  <si>
    <t xml:space="preserve">A</t>
  </si>
  <si>
    <t xml:space="preserve">Disaster_2024 (old). Korea rows corrected (PRK was labelled South Korea).</t>
  </si>
  <si>
    <t xml:space="preserve">PHL</t>
  </si>
  <si>
    <t xml:space="preserve">IDN</t>
  </si>
  <si>
    <t xml:space="preserve">IND</t>
  </si>
  <si>
    <t xml:space="preserve">COL</t>
  </si>
  <si>
    <t xml:space="preserve">MEX</t>
  </si>
  <si>
    <t xml:space="preserve">MMR</t>
  </si>
  <si>
    <t xml:space="preserve">MOZ</t>
  </si>
  <si>
    <t xml:space="preserve">RUS</t>
  </si>
  <si>
    <t xml:space="preserve">BGD</t>
  </si>
  <si>
    <t xml:space="preserve">PAK</t>
  </si>
  <si>
    <t xml:space="preserve">PER</t>
  </si>
  <si>
    <t xml:space="preserve">PNG</t>
  </si>
  <si>
    <t xml:space="preserve">MDG</t>
  </si>
  <si>
    <t xml:space="preserve">SOM</t>
  </si>
  <si>
    <t xml:space="preserve">YEM</t>
  </si>
  <si>
    <t xml:space="preserve">VNM</t>
  </si>
  <si>
    <t xml:space="preserve">VEN</t>
  </si>
  <si>
    <t xml:space="preserve">ECU</t>
  </si>
  <si>
    <t xml:space="preserve">USA</t>
  </si>
  <si>
    <t xml:space="preserve">NIC</t>
  </si>
  <si>
    <t xml:space="preserve">THA</t>
  </si>
  <si>
    <t xml:space="preserve">CHN</t>
  </si>
  <si>
    <t xml:space="preserve">AUS</t>
  </si>
  <si>
    <t xml:space="preserve">JPN</t>
  </si>
  <si>
    <t xml:space="preserve">CAN</t>
  </si>
  <si>
    <t xml:space="preserve">EGY</t>
  </si>
  <si>
    <t xml:space="preserve">PAN</t>
  </si>
  <si>
    <t xml:space="preserve">IRN</t>
  </si>
  <si>
    <t xml:space="preserve">HND</t>
  </si>
  <si>
    <t xml:space="preserve">United Republic of Tanzania</t>
  </si>
  <si>
    <t xml:space="preserve">TZA</t>
  </si>
  <si>
    <t xml:space="preserve">SLV</t>
  </si>
  <si>
    <t xml:space="preserve">ARG</t>
  </si>
  <si>
    <t xml:space="preserve">SLB</t>
  </si>
  <si>
    <t xml:space="preserve">MYS</t>
  </si>
  <si>
    <t xml:space="preserve">TUR</t>
  </si>
  <si>
    <t xml:space="preserve">NZL</t>
  </si>
  <si>
    <t xml:space="preserve">LBY</t>
  </si>
  <si>
    <t xml:space="preserve">KEN</t>
  </si>
  <si>
    <t xml:space="preserve">CHL</t>
  </si>
  <si>
    <t xml:space="preserve">DOM</t>
  </si>
  <si>
    <t xml:space="preserve">BRA</t>
  </si>
  <si>
    <t xml:space="preserve">SYR</t>
  </si>
  <si>
    <t xml:space="preserve">PRK</t>
  </si>
  <si>
    <t xml:space="preserve">GTM</t>
  </si>
  <si>
    <t xml:space="preserve">VUT</t>
  </si>
  <si>
    <t xml:space="preserve">CMR</t>
  </si>
  <si>
    <t xml:space="preserve">CRI</t>
  </si>
  <si>
    <t xml:space="preserve">ITA</t>
  </si>
  <si>
    <t xml:space="preserve">DJI</t>
  </si>
  <si>
    <t xml:space="preserve">KOR</t>
  </si>
  <si>
    <t xml:space="preserve">MAR</t>
  </si>
  <si>
    <t xml:space="preserve">AGO</t>
  </si>
  <si>
    <t xml:space="preserve">SDN</t>
  </si>
  <si>
    <t xml:space="preserve">HTI</t>
  </si>
  <si>
    <t xml:space="preserve">TUN</t>
  </si>
  <si>
    <t xml:space="preserve">Democratic Republic of Congo</t>
  </si>
  <si>
    <t xml:space="preserve">COD</t>
  </si>
  <si>
    <t xml:space="preserve">ESP</t>
  </si>
  <si>
    <t xml:space="preserve">DZA</t>
  </si>
  <si>
    <t xml:space="preserve">ZAF</t>
  </si>
  <si>
    <t xml:space="preserve">SAU</t>
  </si>
  <si>
    <t xml:space="preserve">NGA</t>
  </si>
  <si>
    <t xml:space="preserve">MRT</t>
  </si>
  <si>
    <t xml:space="preserve">IRQ</t>
  </si>
  <si>
    <t xml:space="preserve">GRC</t>
  </si>
  <si>
    <t xml:space="preserve">Micronesia</t>
  </si>
  <si>
    <t xml:space="preserve">KHM</t>
  </si>
  <si>
    <t xml:space="preserve">OMN</t>
  </si>
  <si>
    <t xml:space="preserve">BLZ</t>
  </si>
  <si>
    <t xml:space="preserve">CUB</t>
  </si>
  <si>
    <t xml:space="preserve">TLS</t>
  </si>
  <si>
    <t xml:space="preserve">FRA</t>
  </si>
  <si>
    <t xml:space="preserve">ERI</t>
  </si>
  <si>
    <t xml:space="preserve">GUY</t>
  </si>
  <si>
    <t xml:space="preserve">SUR</t>
  </si>
  <si>
    <t xml:space="preserve">FJI</t>
  </si>
  <si>
    <t xml:space="preserve">GIN</t>
  </si>
  <si>
    <t xml:space="preserve">ALB</t>
  </si>
  <si>
    <t xml:space="preserve">LKA</t>
  </si>
  <si>
    <t xml:space="preserve">SLE</t>
  </si>
  <si>
    <t xml:space="preserve">GBR</t>
  </si>
  <si>
    <t xml:space="preserve">SEN</t>
  </si>
  <si>
    <t xml:space="preserve">Republic of Congo</t>
  </si>
  <si>
    <t xml:space="preserve">COG</t>
  </si>
  <si>
    <t xml:space="preserve">NAM</t>
  </si>
  <si>
    <t xml:space="preserve">BEL</t>
  </si>
  <si>
    <t xml:space="preserve">GAB</t>
  </si>
  <si>
    <t xml:space="preserve">PRT</t>
  </si>
  <si>
    <t xml:space="preserve">URY</t>
  </si>
  <si>
    <t xml:space="preserve">GMB</t>
  </si>
  <si>
    <t xml:space="preserve">ETH</t>
  </si>
  <si>
    <t xml:space="preserve">BHS</t>
  </si>
  <si>
    <t xml:space="preserve">HRV</t>
  </si>
  <si>
    <t xml:space="preserve">POL</t>
  </si>
  <si>
    <t xml:space="preserve">ARE</t>
  </si>
  <si>
    <t xml:space="preserve">Federated States of Micronesia</t>
  </si>
  <si>
    <t xml:space="preserve">FSM</t>
  </si>
  <si>
    <t xml:space="preserve">UKR</t>
  </si>
  <si>
    <t xml:space="preserve">SSD</t>
  </si>
  <si>
    <t xml:space="preserve">AFG</t>
  </si>
  <si>
    <t xml:space="preserve">NLD</t>
  </si>
  <si>
    <t xml:space="preserve">DEU</t>
  </si>
  <si>
    <t xml:space="preserve">TON</t>
  </si>
  <si>
    <t xml:space="preserve">LBN</t>
  </si>
  <si>
    <t xml:space="preserve">ISR</t>
  </si>
  <si>
    <t xml:space="preserve">GEO</t>
  </si>
  <si>
    <t xml:space="preserve">JOR</t>
  </si>
  <si>
    <t xml:space="preserve">MUS</t>
  </si>
  <si>
    <t xml:space="preserve">GNB</t>
  </si>
  <si>
    <t xml:space="preserve">CYP</t>
  </si>
  <si>
    <t xml:space="preserve">CAF</t>
  </si>
  <si>
    <t xml:space="preserve">JAM</t>
  </si>
  <si>
    <t xml:space="preserve">MWI</t>
  </si>
  <si>
    <t xml:space="preserve">GNQ</t>
  </si>
  <si>
    <t xml:space="preserve">WSM</t>
  </si>
  <si>
    <t xml:space="preserve">SWE</t>
  </si>
  <si>
    <t xml:space="preserve">ROU</t>
  </si>
  <si>
    <t xml:space="preserve">Plurinational State of Bolivia</t>
  </si>
  <si>
    <t xml:space="preserve">BOL</t>
  </si>
  <si>
    <t xml:space="preserve">MHL</t>
  </si>
  <si>
    <t xml:space="preserve">LBR</t>
  </si>
  <si>
    <t xml:space="preserve">Lao People's Democratic Republic</t>
  </si>
  <si>
    <t xml:space="preserve">LAO</t>
  </si>
  <si>
    <t xml:space="preserve">BDI</t>
  </si>
  <si>
    <t xml:space="preserve">LVA</t>
  </si>
  <si>
    <t xml:space="preserve">TTO</t>
  </si>
  <si>
    <t xml:space="preserve">TCD</t>
  </si>
  <si>
    <t xml:space="preserve">GHA</t>
  </si>
  <si>
    <t xml:space="preserve">ZMB</t>
  </si>
  <si>
    <t xml:space="preserve">MNE</t>
  </si>
  <si>
    <t xml:space="preserve">ATG</t>
  </si>
  <si>
    <t xml:space="preserve">LCA</t>
  </si>
  <si>
    <t xml:space="preserve">UGA</t>
  </si>
  <si>
    <t xml:space="preserve">KIR</t>
  </si>
  <si>
    <t xml:space="preserve">KWT</t>
  </si>
  <si>
    <t xml:space="preserve">NPL</t>
  </si>
  <si>
    <t xml:space="preserve">DMA</t>
  </si>
  <si>
    <t xml:space="preserve">COM</t>
  </si>
  <si>
    <t xml:space="preserve">RWA</t>
  </si>
  <si>
    <t xml:space="preserve">VCT</t>
  </si>
  <si>
    <t xml:space="preserve">ZWE</t>
  </si>
  <si>
    <t xml:space="preserve">ARM</t>
  </si>
  <si>
    <t xml:space="preserve">NOR</t>
  </si>
  <si>
    <t xml:space="preserve">SYC</t>
  </si>
  <si>
    <t xml:space="preserve">IRL</t>
  </si>
  <si>
    <t xml:space="preserve">KGZ</t>
  </si>
  <si>
    <t xml:space="preserve">BIH</t>
  </si>
  <si>
    <t xml:space="preserve">BRB</t>
  </si>
  <si>
    <t xml:space="preserve">BGR</t>
  </si>
  <si>
    <t xml:space="preserve">TJK</t>
  </si>
  <si>
    <t xml:space="preserve">LTU</t>
  </si>
  <si>
    <t xml:space="preserve">MLI</t>
  </si>
  <si>
    <t xml:space="preserve">AZE</t>
  </si>
  <si>
    <t xml:space="preserve">NER</t>
  </si>
  <si>
    <t xml:space="preserve">KNA</t>
  </si>
  <si>
    <t xml:space="preserve">SVN</t>
  </si>
  <si>
    <t xml:space="preserve">Cote d'Ivoire</t>
  </si>
  <si>
    <t xml:space="preserve">CIV</t>
  </si>
  <si>
    <t xml:space="preserve">PLW</t>
  </si>
  <si>
    <t xml:space="preserve">BFA</t>
  </si>
  <si>
    <t xml:space="preserve">ISL</t>
  </si>
  <si>
    <t xml:space="preserve">MNG</t>
  </si>
  <si>
    <t xml:space="preserve">KAZ</t>
  </si>
  <si>
    <t xml:space="preserve">SWZ</t>
  </si>
  <si>
    <t xml:space="preserve">GRD</t>
  </si>
  <si>
    <t xml:space="preserve">BEN</t>
  </si>
  <si>
    <t xml:space="preserve">EST</t>
  </si>
  <si>
    <t xml:space="preserve">SRB</t>
  </si>
  <si>
    <t xml:space="preserve">PRY</t>
  </si>
  <si>
    <t xml:space="preserve">TGO</t>
  </si>
  <si>
    <t xml:space="preserve">FIN</t>
  </si>
  <si>
    <t xml:space="preserve">TUV</t>
  </si>
  <si>
    <t xml:space="preserve">UZB</t>
  </si>
  <si>
    <t xml:space="preserve">BWA</t>
  </si>
  <si>
    <t xml:space="preserve">LSO</t>
  </si>
  <si>
    <t xml:space="preserve">MKD</t>
  </si>
  <si>
    <t xml:space="preserve">MDA</t>
  </si>
  <si>
    <t xml:space="preserve">BRN</t>
  </si>
  <si>
    <t xml:space="preserve">TKM</t>
  </si>
  <si>
    <t xml:space="preserve">BTN</t>
  </si>
  <si>
    <t xml:space="preserve">CPV</t>
  </si>
  <si>
    <t xml:space="preserve">AUT</t>
  </si>
  <si>
    <t xml:space="preserve">MDV</t>
  </si>
  <si>
    <t xml:space="preserve">CZE</t>
  </si>
  <si>
    <t xml:space="preserve">CHE</t>
  </si>
  <si>
    <t xml:space="preserve">SVK</t>
  </si>
  <si>
    <t xml:space="preserve">MLT</t>
  </si>
  <si>
    <t xml:space="preserve">NRU</t>
  </si>
  <si>
    <t xml:space="preserve">DNK</t>
  </si>
  <si>
    <t xml:space="preserve">HUN</t>
  </si>
  <si>
    <t xml:space="preserve">BHR</t>
  </si>
  <si>
    <t xml:space="preserve">QAT</t>
  </si>
  <si>
    <t xml:space="preserve">SGP</t>
  </si>
  <si>
    <t xml:space="preserve">BLR</t>
  </si>
  <si>
    <t xml:space="preserve">LIE</t>
  </si>
  <si>
    <t xml:space="preserve">STP</t>
  </si>
  <si>
    <t xml:space="preserve">LUX</t>
  </si>
  <si>
    <t xml:space="preserve">SMR</t>
  </si>
  <si>
    <t xml:space="preserve">AND</t>
  </si>
  <si>
    <t xml:space="preserve">MCO</t>
  </si>
  <si>
    <t xml:space="preserve">LifeExp60_2024</t>
  </si>
  <si>
    <t xml:space="preserve">Female</t>
  </si>
  <si>
    <t xml:space="preserve">Male</t>
  </si>
  <si>
    <t xml:space="preserve">Life expectancy at age 60 (remaining years), 2024. Source: UN World Population Prospects, via World Bank Gender Data Portal (SP.DYN.LE60.FE.IN / .MA.IN). Col B = average of female and male; MALE COLUMN EMPTY for now (first export was scrambled) -&gt; B currently = female only. Paste correct male values in col D and B updates automatically.</t>
  </si>
  <si>
    <t xml:space="preserve">St. Martin (French part)</t>
  </si>
  <si>
    <t xml:space="preserve">Faroe Islands</t>
  </si>
  <si>
    <t xml:space="preserve">Sint Maarten (Dutch part)</t>
  </si>
  <si>
    <t xml:space="preserve">CGT</t>
  </si>
  <si>
    <t xml:space="preserve">Providing headline number</t>
  </si>
  <si>
    <t xml:space="preserve">https://taxsummaries.pwc.com/quick-charts/capital-gains-tax-cgt-rates</t>
  </si>
  <si>
    <t xml:space="preserve">Col_2026MY</t>
  </si>
  <si>
    <t xml:space="preserve">Sal_2026</t>
  </si>
  <si>
    <t xml:space="preserve">Col_2025</t>
  </si>
  <si>
    <t xml:space="preserve">Numbeo Cost of Living Plus Rent Index. Active: 2026 Mid-Year (A:B). Older year kept for comparison.</t>
  </si>
  <si>
    <t xml:space="preserve">Sal</t>
  </si>
  <si>
    <t xml:space="preserve">% Sal Germ</t>
  </si>
  <si>
    <t xml:space="preserve">% Sal Col</t>
  </si>
  <si>
    <t xml:space="preserve">Sal_2025</t>
  </si>
  <si>
    <t xml:space="preserve">Numbeo average monthly net salary. Not used by the tool.</t>
  </si>
  <si>
    <t xml:space="preserve">Variable</t>
  </si>
  <si>
    <t xml:space="preserve">Active data</t>
  </si>
  <si>
    <t xml:space="preserve">Older data kept</t>
  </si>
  <si>
    <t xml:space="preserve">Notes</t>
  </si>
  <si>
    <t xml:space="preserve">Numbeo 2026 Mid-Year, COL Plus Rent (Sheet1 A:B)</t>
  </si>
  <si>
    <t xml:space="preserve">2025</t>
  </si>
  <si>
    <t xml:space="preserve">Defines the country list: all 152 countries with COL data.</t>
  </si>
  <si>
    <t xml:space="preserve">UNODC homicide rate (via Our World in Data), converted to 0-100 safety score (log scale)</t>
  </si>
  <si>
    <t xml:space="preserve">Numbeo perceived safety 2026 Mid-Year &amp; 2025</t>
  </si>
  <si>
    <t xml:space="preserve">Switched from perception (Numbeo) to objective homicide rate. Tab 1 header stays "Safety", higher = safer, so script needs no change. Some latest years are old (Thailand, Vietnam, Cambodia 2011; Syria 2010). No data: Taiwan, Senegal, Kyrgyzstan, Madagascar, Libya, DR Congo, Ivory Coast. Jersey/Guernsey use Channel Islands 2010 figure.</t>
  </si>
  <si>
    <t xml:space="preserve">Numbeo 2026 Mid-Year</t>
  </si>
  <si>
    <t xml:space="preserve">World Bank WGI 2026 release, year 2025, governance score 0-100, avg of 6</t>
  </si>
  <si>
    <t xml:space="preserve">2023 (percentile ranks)</t>
  </si>
  <si>
    <t xml:space="preserve">Scales differ between years. 2023 Korea rows corrected (old tool used North Korea values for South Korea).</t>
  </si>
  <si>
    <t xml:space="preserve">PM2.5 mean annual exposure 2023 (GBD 2023 / IHME via World Bank, OWID)</t>
  </si>
  <si>
    <t xml:space="preserve">Numbeo pollution 2026 Mid-Year &amp; 2025</t>
  </si>
  <si>
    <t xml:space="preserve">Switched from Numbeo perception survey to modelled PM2.5 (objective, population-weighted). No data: Hong Kong, Taiwan, Macao, Kosovo, Cayman Islands, Jersey, Guernsey, Isle of Man, Gibraltar.</t>
  </si>
  <si>
    <t xml:space="preserve">GeoRank comfortable outdoor hours/yr</t>
  </si>
  <si>
    <t xml:space="preserve">Numbeo 2025 climate score</t>
  </si>
  <si>
    <t xml:space="preserve">Hours only collected for the old 106 countries.</t>
  </si>
  <si>
    <t xml:space="preserve">EF EPI 2025 score</t>
  </si>
  <si>
    <t xml:space="preserve">EF 2024</t>
  </si>
  <si>
    <t xml:space="preserve">Native-English countries = 700 on tab 1 (US, AU, UK, NZ, IE, CA, PR). Singapore 609 &amp; Luxembourg 576 carried over from 2024 (absent from EF 2025).</t>
  </si>
  <si>
    <t xml:space="preserve">Expat Insider 2024 rank (53 countries)</t>
  </si>
  <si>
    <t xml:space="preserve">2026 stored (31 countries)</t>
  </si>
  <si>
    <t xml:space="preserve">2026 kept for reference only.</t>
  </si>
  <si>
    <t xml:space="preserve">US News 2024 rank</t>
  </si>
  <si>
    <t xml:space="preserve">-</t>
  </si>
  <si>
    <t xml:space="preserve">Unchanged.</t>
  </si>
  <si>
    <t xml:space="preserve">WorldRiskReport 2026, EXPOSURE (col D) - changed from WorldRiskIndex W</t>
  </si>
  <si>
    <t xml:space="preserve">2024</t>
  </si>
  <si>
    <t xml:space="preserve">Switched to Exposure: WRI also includes societal vulnerability, which double-counts governance/healthcare already in the index. Only UN members: Hong Kong, Taiwan, Puerto Rico, Kosovo have no value. 2024 Korea rows corrected.</t>
  </si>
  <si>
    <t xml:space="preserve">UN WPP via World Bank, life expectancy at 60, 2024 (avg of female &amp; male)</t>
  </si>
  <si>
    <t xml:space="preserve">NEW 10th variable (Oct 2026). Remaining years at age 60: more relevant to retirees than life expectancy at birth. Male data pending re-download (first export scrambled); currently female only. No data: Taiwan, Jersey, Guernsey.</t>
  </si>
  <si>
    <t xml:space="preserve">Salary (Sal_2025 column)</t>
  </si>
  <si>
    <t xml:space="preserve">Numbeo 2026</t>
  </si>
  <si>
    <t xml:space="preserve">Removed from tab 1 (Oct 29): unused by the tool, but its blanks were counted by the "more than 2 N/A" filter. Kept on the Salary tab.</t>
  </si>
  <si>
    <t xml:space="preserve">TO DO (next session)</t>
  </si>
  <si>
    <t xml:space="preserve">1. Integrate file with script; test tool (check #N/A handling, and whether the &gt;2 N/A filter counts Sal column).</t>
  </si>
  <si>
    <t xml:space="preserve">2. Value-for-money: fit a curve (not a line) of COL vs suitability; rank countries by distance above it.</t>
  </si>
  <si>
    <t xml:space="preserve">3. Default view: only countries with enough data; click to reveal sparse ones. Show coverage (x/9) on hover.</t>
  </si>
  <si>
    <t xml:space="preserve">4. User weights 0-3 per factor - check if easy in script.</t>
  </si>
  <si>
    <t xml:space="preserve">5. Safety: DONE - homicide rate added (log-scaled score).</t>
  </si>
  <si>
    <t xml:space="preserve">6. DONE - Life Expectancy at 60 added (male data still to paste in).</t>
  </si>
  <si>
    <t xml:space="preserve">7. Air quality: DONE - PM2.5 replaces Numbeo pollution.</t>
  </si>
  <si>
    <t xml:space="preserve">8. Check UN DESA expat share of population (possible Openness replacement).</t>
  </si>
  <si>
    <t xml:space="preserve">9. Look into LGBTQ+ legal equality (Equaldex), possibly as optional filter.</t>
  </si>
  <si>
    <t xml:space="preserve">10. Think about future heat (days &gt;35C by 2050).</t>
  </si>
  <si>
    <t xml:space="preserve">11. Methods page: update sources, record Exposure switch, normalisation note (compare overall ranks, not individual factor scores, across versions), known limitations: Numbeo small samples (e.g. India salary -49%), country averages vs city variation, perception-based sources (scenery, openness).</t>
  </si>
  <si>
    <t xml:space="preserve">12. Visa: write content first; decide tool integration later.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</si>
</sst>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Aptos Narrow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0"/>
    <col collapsed="false" customWidth="true" hidden="false" outlineLevel="0" max="3" min="3" style="1" width="10.56"/>
    <col collapsed="false" customWidth="true" hidden="false" outlineLevel="0" max="4" min="4" style="1" width="15.67"/>
    <col collapsed="false" customWidth="true" hidden="false" outlineLevel="0" max="5" min="5" style="1" width="10.56"/>
    <col collapsed="false" customWidth="true" hidden="false" outlineLevel="0" max="6" min="6" style="1" width="14.67"/>
    <col collapsed="false" customWidth="true" hidden="false" outlineLevel="0" max="26" min="7" style="1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true" outlineLevel="0" collapsed="false">
      <c r="A2" s="1" t="s">
        <v>12</v>
      </c>
      <c r="B2" s="1" t="n">
        <f aca="false">VLOOKUP(A2, Sheet1!A:B, 2, FALSE())</f>
        <v>81.5</v>
      </c>
      <c r="C2" s="1" t="n">
        <f aca="false">VLOOKUP(A2, Safety!A:B, 2, FALSE())</f>
        <v>89.2340358270808</v>
      </c>
      <c r="D2" s="1" t="n">
        <f aca="false">VLOOKUP(A2, Health!A:B, 2, FALSE())</f>
        <v>68.8</v>
      </c>
      <c r="E2" s="1" t="n">
        <f aca="false">VLOOKUP(A2, Political!A:H, 8, FALSE())</f>
        <v>87.26</v>
      </c>
      <c r="F2" s="1" t="n">
        <f aca="false">VLOOKUP(A2, Pollution!A:B, 2, FALSE())</f>
        <v>8.32</v>
      </c>
      <c r="G2" s="1" t="n">
        <f aca="false">VLOOKUP(A2, Climate!A:B, 2, FALSE())</f>
        <v>2357</v>
      </c>
      <c r="H2" s="1" t="n">
        <f aca="false">VLOOKUP(A2, English!A:C, 3, FALSE())</f>
        <v>564</v>
      </c>
      <c r="I2" s="1" t="n">
        <f aca="false">VLOOKUP(A2, Openness!A:C, 2, FALSE())</f>
        <v>46</v>
      </c>
      <c r="J2" s="1" t="n">
        <f aca="false">VLOOKUP(A2, Scenic!A:B, 2, FALSE())</f>
        <v>4</v>
      </c>
      <c r="K2" s="1" t="n">
        <f aca="false">VLOOKUP(A2, Disaster!A:H, 4, FALSE())</f>
        <v>0.16</v>
      </c>
      <c r="L2" s="1" t="n">
        <f aca="false">VLOOKUP(A2, LifeExp60!A:B, 2, FALSE())</f>
        <v>27.468</v>
      </c>
    </row>
    <row r="3" customFormat="false" ht="15.75" hidden="false" customHeight="true" outlineLevel="0" collapsed="false">
      <c r="A3" s="1" t="s">
        <v>13</v>
      </c>
      <c r="B3" s="1" t="n">
        <f aca="false">VLOOKUP(A3, Sheet1!A:B, 2, FALSE())</f>
        <v>64.2</v>
      </c>
      <c r="C3" s="1" t="n">
        <f aca="false">VLOOKUP(A3, Safety!A:B, 2, FALSE())</f>
        <v>78.6437589977607</v>
      </c>
      <c r="D3" s="1" t="n">
        <f aca="false">VLOOKUP(A3, Health!A:B, 2, FALSE())</f>
        <v>70.7</v>
      </c>
      <c r="E3" s="1" t="n">
        <f aca="false">VLOOKUP(A3, Political!A:H, 8, FALSE())</f>
        <v>87.3066666666667</v>
      </c>
      <c r="F3" s="1" t="n">
        <f aca="false">VLOOKUP(A3, Pollution!A:B, 2, FALSE())</f>
        <v>7.43</v>
      </c>
      <c r="G3" s="1" t="n">
        <f aca="false">VLOOKUP(A3, Climate!A:B, 2, FALSE())</f>
        <v>2218</v>
      </c>
      <c r="H3" s="1" t="n">
        <f aca="false">VLOOKUP(A3, English!A:C, 3, FALSE())</f>
        <v>576</v>
      </c>
      <c r="I3" s="1" t="n">
        <f aca="false">VLOOKUP(A3, Openness!A:C, 2, FALSE())</f>
        <v>38</v>
      </c>
      <c r="J3" s="1" t="n">
        <f aca="false">VLOOKUP(A3, Scenic!A:B, 2, FALSE())</f>
        <v>40</v>
      </c>
      <c r="K3" s="1" t="n">
        <f aca="false">VLOOKUP(A3, Disaster!A:H, 4, FALSE())</f>
        <v>0.06</v>
      </c>
      <c r="L3" s="1" t="n">
        <f aca="false">VLOOKUP(A3, LifeExp60!A:B, 2, FALSE())</f>
        <v>26.17</v>
      </c>
    </row>
    <row r="4" customFormat="false" ht="15.75" hidden="false" customHeight="true" outlineLevel="0" collapsed="false">
      <c r="A4" s="1" t="s">
        <v>14</v>
      </c>
      <c r="B4" s="1" t="n">
        <f aca="false">VLOOKUP(A4, Sheet1!A:B, 2, FALSE())</f>
        <v>74.8</v>
      </c>
      <c r="C4" s="1" t="n">
        <f aca="false">VLOOKUP(A4, Safety!A:B, 2, FALSE())</f>
        <v>80.9449963896715</v>
      </c>
      <c r="D4" s="1" t="n">
        <f aca="false">VLOOKUP(A4, Health!A:B, 2, FALSE())</f>
        <v>68.7</v>
      </c>
      <c r="E4" s="1" t="n">
        <f aca="false">VLOOKUP(A4, Political!A:H, 8, FALSE())</f>
        <v>83.2216666666667</v>
      </c>
      <c r="F4" s="1" t="n">
        <f aca="false">VLOOKUP(A4, Pollution!A:B, 2, FALSE())</f>
        <v>4.93</v>
      </c>
      <c r="G4" s="1" t="n">
        <f aca="false">VLOOKUP(A4, Climate!A:B, 2, FALSE())</f>
        <v>1012</v>
      </c>
      <c r="H4" s="1" t="e">
        <f aca="false">VLOOKUP(A4, English!A:C, 3, FALSE())</f>
        <v>#N/A</v>
      </c>
      <c r="I4" s="1" t="e">
        <f aca="false">VLOOKUP(A4, Openness!A:C, 2, FALSE())</f>
        <v>#N/A</v>
      </c>
      <c r="J4" s="1" t="n">
        <f aca="false">VLOOKUP(A4, Scenic!A:B, 2, FALSE())</f>
        <v>8</v>
      </c>
      <c r="K4" s="1" t="n">
        <f aca="false">VLOOKUP(A4, Disaster!A:H, 4, FALSE())</f>
        <v>0.71</v>
      </c>
      <c r="L4" s="1" t="n">
        <f aca="false">VLOOKUP(A4, LifeExp60!A:B, 2, FALSE())</f>
        <v>25.948</v>
      </c>
    </row>
    <row r="5" customFormat="false" ht="15.75" hidden="false" customHeight="true" outlineLevel="0" collapsed="false">
      <c r="A5" s="1" t="s">
        <v>15</v>
      </c>
      <c r="B5" s="1" t="n">
        <f aca="false">VLOOKUP(A5, Sheet1!A:B, 2, FALSE())</f>
        <v>80.5</v>
      </c>
      <c r="C5" s="1" t="n">
        <f aca="false">VLOOKUP(A5, Safety!A:B, 2, FALSE())</f>
        <v>98.4654924139728</v>
      </c>
      <c r="D5" s="1" t="n">
        <f aca="false">VLOOKUP(A5, Health!A:B, 2, FALSE())</f>
        <v>71.9</v>
      </c>
      <c r="E5" s="1" t="n">
        <f aca="false">VLOOKUP(A5, Political!A:H, 8, FALSE())</f>
        <v>83.5983333333333</v>
      </c>
      <c r="F5" s="1" t="n">
        <f aca="false">VLOOKUP(A5, Pollution!A:B, 2, FALSE())</f>
        <v>15.14</v>
      </c>
      <c r="G5" s="1" t="n">
        <f aca="false">VLOOKUP(A5, Climate!A:B, 2, FALSE())</f>
        <v>1186</v>
      </c>
      <c r="H5" s="1" t="n">
        <f aca="false">VLOOKUP(A5, English!A:C, 3, FALSE())</f>
        <v>609</v>
      </c>
      <c r="I5" s="1" t="n">
        <f aca="false">VLOOKUP(A5, Openness!A:C, 2, FALSE())</f>
        <v>30</v>
      </c>
      <c r="J5" s="1" t="n">
        <f aca="false">VLOOKUP(A5, Scenic!A:B, 2, FALSE())</f>
        <v>33</v>
      </c>
      <c r="K5" s="1" t="n">
        <f aca="false">VLOOKUP(A5, Disaster!A:H, 4, FALSE())</f>
        <v>0.17</v>
      </c>
      <c r="L5" s="1" t="n">
        <f aca="false">VLOOKUP(A5, LifeExp60!A:B, 2, FALSE())</f>
        <v>27.825</v>
      </c>
    </row>
    <row r="6" customFormat="false" ht="15.75" hidden="false" customHeight="true" outlineLevel="0" collapsed="false">
      <c r="A6" s="1" t="s">
        <v>16</v>
      </c>
      <c r="B6" s="1" t="n">
        <f aca="false">VLOOKUP(A6, Sheet1!A:B, 2, FALSE())</f>
        <v>59.3</v>
      </c>
      <c r="C6" s="1" t="n">
        <f aca="false">VLOOKUP(A6, Safety!A:B, 2, FALSE())</f>
        <v>87.4608887517418</v>
      </c>
      <c r="D6" s="1" t="n">
        <f aca="false">VLOOKUP(A6, Health!A:B, 2, FALSE())</f>
        <v>75.1</v>
      </c>
      <c r="E6" s="1" t="n">
        <f aca="false">VLOOKUP(A6, Political!A:H, 8, FALSE())</f>
        <v>87.685</v>
      </c>
      <c r="F6" s="1" t="n">
        <f aca="false">VLOOKUP(A6, Pollution!A:B, 2, FALSE())</f>
        <v>5.52</v>
      </c>
      <c r="G6" s="1" t="n">
        <f aca="false">VLOOKUP(A6, Climate!A:B, 2, FALSE())</f>
        <v>1821</v>
      </c>
      <c r="H6" s="1" t="n">
        <f aca="false">VLOOKUP(A6, English!A:C, 3, FALSE())</f>
        <v>613</v>
      </c>
      <c r="I6" s="1" t="n">
        <f aca="false">VLOOKUP(A6, Openness!A:C, 2, FALSE())</f>
        <v>52</v>
      </c>
      <c r="J6" s="1" t="n">
        <f aca="false">VLOOKUP(A6, Scenic!A:B, 2, FALSE())</f>
        <v>7</v>
      </c>
      <c r="K6" s="1" t="n">
        <f aca="false">VLOOKUP(A6, Disaster!A:H, 4, FALSE())</f>
        <v>1.1</v>
      </c>
      <c r="L6" s="1" t="n">
        <f aca="false">VLOOKUP(A6, LifeExp60!A:B, 2, FALSE())</f>
        <v>26.522</v>
      </c>
    </row>
    <row r="7" customFormat="false" ht="15.75" hidden="false" customHeight="true" outlineLevel="0" collapsed="false">
      <c r="A7" s="1" t="s">
        <v>17</v>
      </c>
      <c r="B7" s="1" t="n">
        <f aca="false">VLOOKUP(A7, Sheet1!A:B, 2, FALSE())</f>
        <v>54.8</v>
      </c>
      <c r="C7" s="1" t="n">
        <f aca="false">VLOOKUP(A7, Safety!A:B, 2, FALSE())</f>
        <v>56.0401633501936</v>
      </c>
      <c r="D7" s="1" t="n">
        <f aca="false">VLOOKUP(A7, Health!A:B, 2, FALSE())</f>
        <v>66.9</v>
      </c>
      <c r="E7" s="1" t="n">
        <f aca="false">VLOOKUP(A7, Political!A:H, 8, FALSE())</f>
        <v>69.4283333333333</v>
      </c>
      <c r="F7" s="1" t="n">
        <f aca="false">VLOOKUP(A7, Pollution!A:B, 2, FALSE())</f>
        <v>6.97</v>
      </c>
      <c r="G7" s="1" t="n">
        <f aca="false">VLOOKUP(A7, Climate!A:B, 2, FALSE())</f>
        <v>2418</v>
      </c>
      <c r="H7" s="1" t="n">
        <v>700</v>
      </c>
      <c r="I7" s="1" t="n">
        <f aca="false">VLOOKUP(A7, Openness!A:C, 2, FALSE())</f>
        <v>28</v>
      </c>
      <c r="J7" s="1" t="n">
        <f aca="false">VLOOKUP(A7, Scenic!A:B, 2, FALSE())</f>
        <v>51</v>
      </c>
      <c r="K7" s="1" t="n">
        <f aca="false">VLOOKUP(A7, Disaster!A:H, 4, FALSE())</f>
        <v>39.78</v>
      </c>
      <c r="L7" s="1" t="n">
        <f aca="false">VLOOKUP(A7, LifeExp60!A:B, 2, FALSE())</f>
        <v>25.365</v>
      </c>
    </row>
    <row r="8" customFormat="false" ht="15.75" hidden="false" customHeight="true" outlineLevel="0" collapsed="false">
      <c r="A8" s="1" t="s">
        <v>18</v>
      </c>
      <c r="B8" s="1" t="n">
        <f aca="false">VLOOKUP(A8, Sheet1!A:B, 2, FALSE())</f>
        <v>54.8</v>
      </c>
      <c r="C8" s="1" t="n">
        <f aca="false">VLOOKUP(A8, Safety!A:B, 2, FALSE())</f>
        <v>85.9641387668806</v>
      </c>
      <c r="D8" s="1" t="n">
        <f aca="false">VLOOKUP(A8, Health!A:B, 2, FALSE())</f>
        <v>74.4</v>
      </c>
      <c r="E8" s="1" t="n">
        <f aca="false">VLOOKUP(A8, Political!A:H, 8, FALSE())</f>
        <v>88.74</v>
      </c>
      <c r="F8" s="1" t="n">
        <f aca="false">VLOOKUP(A8, Pollution!A:B, 2, FALSE())</f>
        <v>7.5</v>
      </c>
      <c r="G8" s="1" t="n">
        <f aca="false">VLOOKUP(A8, Climate!A:B, 2, FALSE())</f>
        <v>1961</v>
      </c>
      <c r="H8" s="1" t="n">
        <f aca="false">VLOOKUP(A8, English!A:C, 3, FALSE())</f>
        <v>611</v>
      </c>
      <c r="I8" s="1" t="n">
        <f aca="false">VLOOKUP(A8, Openness!A:C, 2, FALSE())</f>
        <v>45</v>
      </c>
      <c r="J8" s="1" t="n">
        <f aca="false">VLOOKUP(A8, Scenic!A:B, 2, FALSE())</f>
        <v>25</v>
      </c>
      <c r="K8" s="1" t="n">
        <f aca="false">VLOOKUP(A8, Disaster!A:H, 4, FALSE())</f>
        <v>0.18</v>
      </c>
      <c r="L8" s="1" t="n">
        <f aca="false">VLOOKUP(A8, LifeExp60!A:B, 2, FALSE())</f>
        <v>25.735</v>
      </c>
    </row>
    <row r="9" customFormat="false" ht="15.75" hidden="false" customHeight="true" outlineLevel="0" collapsed="false">
      <c r="A9" s="1" t="s">
        <v>19</v>
      </c>
      <c r="B9" s="1" t="n">
        <f aca="false">VLOOKUP(A9, Sheet1!A:B, 2, FALSE())</f>
        <v>44.1</v>
      </c>
      <c r="C9" s="1" t="n">
        <f aca="false">VLOOKUP(A9, Safety!A:B, 2, FALSE())</f>
        <v>98.4654924139728</v>
      </c>
      <c r="D9" s="1" t="n">
        <f aca="false">VLOOKUP(A9, Health!A:B, 2, FALSE())</f>
        <v>73.8</v>
      </c>
      <c r="E9" s="1" t="n">
        <f aca="false">VLOOKUP(A9, Political!A:H, 8, FALSE())</f>
        <v>66.15</v>
      </c>
      <c r="F9" s="1" t="n">
        <f aca="false">VLOOKUP(A9, Pollution!A:B, 2, FALSE())</f>
        <v>107.76</v>
      </c>
      <c r="G9" s="1" t="n">
        <f aca="false">VLOOKUP(A9, Climate!A:B, 2, FALSE())</f>
        <v>1851</v>
      </c>
      <c r="H9" s="1" t="n">
        <f aca="false">VLOOKUP(A9, English!A:C, 3, FALSE())</f>
        <v>469</v>
      </c>
      <c r="I9" s="1" t="n">
        <f aca="false">VLOOKUP(A9, Openness!A:C, 2, FALSE())</f>
        <v>22</v>
      </c>
      <c r="J9" s="1" t="n">
        <f aca="false">VLOOKUP(A9, Scenic!A:B, 2, FALSE())</f>
        <v>69</v>
      </c>
      <c r="K9" s="1" t="n">
        <f aca="false">VLOOKUP(A9, Disaster!A:H, 4, FALSE())</f>
        <v>0.17</v>
      </c>
      <c r="L9" s="1" t="n">
        <f aca="false">VLOOKUP(A9, LifeExp60!A:B, 2, FALSE())</f>
        <v>25.209</v>
      </c>
    </row>
    <row r="10" customFormat="false" ht="15.75" hidden="false" customHeight="true" outlineLevel="0" collapsed="false">
      <c r="A10" s="1" t="s">
        <v>20</v>
      </c>
      <c r="B10" s="1" t="n">
        <f aca="false">VLOOKUP(A10, Sheet1!A:B, 2, FALSE())</f>
        <v>53.9</v>
      </c>
      <c r="C10" s="1" t="n">
        <f aca="false">VLOOKUP(A10, Safety!A:B, 2, FALSE())</f>
        <v>85.8023121115134</v>
      </c>
      <c r="D10" s="1" t="n">
        <f aca="false">VLOOKUP(A10, Health!A:B, 2, FALSE())</f>
        <v>71.8</v>
      </c>
      <c r="E10" s="1" t="n">
        <f aca="false">VLOOKUP(A10, Political!A:H, 8, FALSE())</f>
        <v>83.875</v>
      </c>
      <c r="F10" s="1" t="n">
        <f aca="false">VLOOKUP(A10, Pollution!A:B, 2, FALSE())</f>
        <v>6.41</v>
      </c>
      <c r="G10" s="1" t="n">
        <f aca="false">VLOOKUP(A10, Climate!A:B, 2, FALSE())</f>
        <v>3315</v>
      </c>
      <c r="H10" s="1" t="n">
        <v>700</v>
      </c>
      <c r="I10" s="1" t="n">
        <f aca="false">VLOOKUP(A10, Openness!A:C, 2, FALSE())</f>
        <v>20</v>
      </c>
      <c r="J10" s="1" t="n">
        <f aca="false">VLOOKUP(A10, Scenic!A:B, 2, FALSE())</f>
        <v>9</v>
      </c>
      <c r="K10" s="1" t="n">
        <f aca="false">VLOOKUP(A10, Disaster!A:H, 4, FALSE())</f>
        <v>32.11</v>
      </c>
      <c r="L10" s="1" t="n">
        <f aca="false">VLOOKUP(A10, LifeExp60!A:B, 2, FALSE())</f>
        <v>27.677</v>
      </c>
    </row>
    <row r="11" customFormat="false" ht="15.75" hidden="false" customHeight="true" outlineLevel="0" collapsed="false">
      <c r="A11" s="1" t="s">
        <v>21</v>
      </c>
      <c r="B11" s="1" t="n">
        <f aca="false">VLOOKUP(A11, Sheet1!A:B, 2, FALSE())</f>
        <v>56</v>
      </c>
      <c r="C11" s="1" t="n">
        <f aca="false">VLOOKUP(A11, Safety!A:B, 2, FALSE())</f>
        <v>87.9187087438419</v>
      </c>
      <c r="D11" s="1" t="n">
        <f aca="false">VLOOKUP(A11, Health!A:B, 2, FALSE())</f>
        <v>77.6</v>
      </c>
      <c r="E11" s="1" t="n">
        <f aca="false">VLOOKUP(A11, Political!A:H, 8, FALSE())</f>
        <v>83.6766666666667</v>
      </c>
      <c r="F11" s="1" t="n">
        <f aca="false">VLOOKUP(A11, Pollution!A:B, 2, FALSE())</f>
        <v>8.59</v>
      </c>
      <c r="G11" s="1" t="n">
        <f aca="false">VLOOKUP(A11, Climate!A:B, 2, FALSE())</f>
        <v>2185</v>
      </c>
      <c r="H11" s="1" t="n">
        <f aca="false">VLOOKUP(A11, English!A:C, 3, FALSE())</f>
        <v>624</v>
      </c>
      <c r="I11" s="1" t="n">
        <f aca="false">VLOOKUP(A11, Openness!A:C, 2, FALSE())</f>
        <v>41</v>
      </c>
      <c r="J11" s="1" t="n">
        <f aca="false">VLOOKUP(A11, Scenic!A:B, 2, FALSE())</f>
        <v>21</v>
      </c>
      <c r="K11" s="1" t="n">
        <f aca="false">VLOOKUP(A11, Disaster!A:H, 4, FALSE())</f>
        <v>2.17</v>
      </c>
      <c r="L11" s="1" t="n">
        <f aca="false">VLOOKUP(A11, LifeExp60!A:B, 2, FALSE())</f>
        <v>25.753</v>
      </c>
    </row>
    <row r="12" customFormat="false" ht="15.75" hidden="false" customHeight="true" outlineLevel="0" collapsed="false">
      <c r="A12" s="1" t="s">
        <v>22</v>
      </c>
      <c r="B12" s="1" t="n">
        <f aca="false">VLOOKUP(A12, Sheet1!A:B, 2, FALSE())</f>
        <v>64.8</v>
      </c>
      <c r="C12" s="1" t="n">
        <f aca="false">VLOOKUP(A12, Safety!A:B, 2, FALSE())</f>
        <v>77.7963463056789</v>
      </c>
      <c r="D12" s="1" t="n">
        <f aca="false">VLOOKUP(A12, Health!A:B, 2, FALSE())</f>
        <v>73.5</v>
      </c>
      <c r="E12" s="1" t="n">
        <f aca="false">VLOOKUP(A12, Political!A:H, 8, FALSE())</f>
        <v>67.205</v>
      </c>
      <c r="F12" s="1" t="n">
        <f aca="false">VLOOKUP(A12, Pollution!A:B, 2, FALSE())</f>
        <v>21.9</v>
      </c>
      <c r="G12" s="1" t="n">
        <f aca="false">VLOOKUP(A12, Climate!A:B, 2, FALSE())</f>
        <v>2897</v>
      </c>
      <c r="H12" s="1" t="n">
        <f aca="false">VLOOKUP(A12, English!A:C, 3, FALSE())</f>
        <v>524</v>
      </c>
      <c r="I12" s="1" t="e">
        <f aca="false">VLOOKUP(A12, Openness!A:C, 2, FALSE())</f>
        <v>#N/A</v>
      </c>
      <c r="J12" s="1" t="n">
        <f aca="false">VLOOKUP(A12, Scenic!A:B, 2, FALSE())</f>
        <v>87</v>
      </c>
      <c r="K12" s="1" t="n">
        <f aca="false">VLOOKUP(A12, Disaster!A:H, 4, FALSE())</f>
        <v>1.2</v>
      </c>
      <c r="L12" s="1" t="n">
        <f aca="false">VLOOKUP(A12, LifeExp60!A:B, 2, FALSE())</f>
        <v>26.441</v>
      </c>
    </row>
    <row r="13" customFormat="false" ht="15.75" hidden="false" customHeight="true" outlineLevel="0" collapsed="false">
      <c r="A13" s="1" t="s">
        <v>23</v>
      </c>
      <c r="B13" s="1" t="n">
        <f aca="false">VLOOKUP(A13, Sheet1!A:B, 2, FALSE())</f>
        <v>50.8</v>
      </c>
      <c r="C13" s="1" t="n">
        <f aca="false">VLOOKUP(A13, Safety!A:B, 2, FALSE())</f>
        <v>82.7298116429381</v>
      </c>
      <c r="D13" s="1" t="n">
        <f aca="false">VLOOKUP(A13, Health!A:B, 2, FALSE())</f>
        <v>72.4</v>
      </c>
      <c r="E13" s="1" t="n">
        <f aca="false">VLOOKUP(A13, Political!A:H, 8, FALSE())</f>
        <v>78.1066666666667</v>
      </c>
      <c r="F13" s="1" t="n">
        <f aca="false">VLOOKUP(A13, Pollution!A:B, 2, FALSE())</f>
        <v>9.46</v>
      </c>
      <c r="G13" s="1" t="n">
        <f aca="false">VLOOKUP(A13, Climate!A:B, 2, FALSE())</f>
        <v>2219</v>
      </c>
      <c r="H13" s="1" t="n">
        <v>700</v>
      </c>
      <c r="I13" s="1" t="n">
        <f aca="false">VLOOKUP(A13, Openness!A:C, 2, FALSE())</f>
        <v>42</v>
      </c>
      <c r="J13" s="1" t="n">
        <f aca="false">VLOOKUP(A13, Scenic!A:B, 2, FALSE())</f>
        <v>45</v>
      </c>
      <c r="K13" s="1" t="n">
        <f aca="false">VLOOKUP(A13, Disaster!A:H, 4, FALSE())</f>
        <v>2.6</v>
      </c>
      <c r="L13" s="1" t="n">
        <f aca="false">VLOOKUP(A13, LifeExp60!A:B, 2, FALSE())</f>
        <v>25.596</v>
      </c>
    </row>
    <row r="14" customFormat="false" ht="15.75" hidden="false" customHeight="true" outlineLevel="0" collapsed="false">
      <c r="A14" s="1" t="s">
        <v>24</v>
      </c>
      <c r="B14" s="1" t="n">
        <f aca="false">VLOOKUP(A14, Sheet1!A:B, 2, FALSE())</f>
        <v>57.4</v>
      </c>
      <c r="C14" s="1" t="n">
        <f aca="false">VLOOKUP(A14, Safety!A:B, 2, FALSE())</f>
        <v>88.4275035529916</v>
      </c>
      <c r="D14" s="1" t="n">
        <f aca="false">VLOOKUP(A14, Health!A:B, 2, FALSE())</f>
        <v>51.3</v>
      </c>
      <c r="E14" s="1" t="n">
        <f aca="false">VLOOKUP(A14, Political!A:H, 8, FALSE())</f>
        <v>82.925</v>
      </c>
      <c r="F14" s="1" t="n">
        <f aca="false">VLOOKUP(A14, Pollution!A:B, 2, FALSE())</f>
        <v>7.51</v>
      </c>
      <c r="G14" s="1" t="n">
        <f aca="false">VLOOKUP(A14, Climate!A:B, 2, FALSE())</f>
        <v>2068</v>
      </c>
      <c r="H14" s="1" t="n">
        <v>700</v>
      </c>
      <c r="I14" s="1" t="n">
        <f aca="false">VLOOKUP(A14, Openness!A:C, 2, FALSE())</f>
        <v>29</v>
      </c>
      <c r="J14" s="1" t="n">
        <f aca="false">VLOOKUP(A14, Scenic!A:B, 2, FALSE())</f>
        <v>11</v>
      </c>
      <c r="K14" s="1" t="n">
        <f aca="false">VLOOKUP(A14, Disaster!A:H, 4, FALSE())</f>
        <v>1.48</v>
      </c>
      <c r="L14" s="1" t="n">
        <f aca="false">VLOOKUP(A14, LifeExp60!A:B, 2, FALSE())</f>
        <v>26.357</v>
      </c>
    </row>
    <row r="15" customFormat="false" ht="15.75" hidden="false" customHeight="true" outlineLevel="0" collapsed="false">
      <c r="A15" s="1" t="s">
        <v>25</v>
      </c>
      <c r="B15" s="1" t="n">
        <f aca="false">VLOOKUP(A15, Sheet1!A:B, 2, FALSE())</f>
        <v>47</v>
      </c>
      <c r="C15" s="1" t="n">
        <f aca="false">VLOOKUP(A15, Safety!A:B, 2, FALSE())</f>
        <v>85.1059062535294</v>
      </c>
      <c r="D15" s="1" t="n">
        <f aca="false">VLOOKUP(A15, Health!A:B, 2, FALSE())</f>
        <v>71.3</v>
      </c>
      <c r="E15" s="1" t="n">
        <f aca="false">VLOOKUP(A15, Political!A:H, 8, FALSE())</f>
        <v>80.2466666666667</v>
      </c>
      <c r="F15" s="1" t="n">
        <f aca="false">VLOOKUP(A15, Pollution!A:B, 2, FALSE())</f>
        <v>8.81</v>
      </c>
      <c r="G15" s="1" t="n">
        <f aca="false">VLOOKUP(A15, Climate!A:B, 2, FALSE())</f>
        <v>2327</v>
      </c>
      <c r="H15" s="1" t="n">
        <f aca="false">VLOOKUP(A15, English!A:C, 3, FALSE())</f>
        <v>615</v>
      </c>
      <c r="I15" s="1" t="n">
        <f aca="false">VLOOKUP(A15, Openness!A:C, 2, FALSE())</f>
        <v>51</v>
      </c>
      <c r="J15" s="1" t="n">
        <f aca="false">VLOOKUP(A15, Scenic!A:B, 2, FALSE())</f>
        <v>50</v>
      </c>
      <c r="K15" s="1" t="n">
        <f aca="false">VLOOKUP(A15, Disaster!A:H, 4, FALSE())</f>
        <v>1.95</v>
      </c>
      <c r="L15" s="1" t="n">
        <f aca="false">VLOOKUP(A15, LifeExp60!A:B, 2, FALSE())</f>
        <v>25.805</v>
      </c>
    </row>
    <row r="16" customFormat="false" ht="15.75" hidden="false" customHeight="true" outlineLevel="0" collapsed="false">
      <c r="A16" s="1" t="s">
        <v>26</v>
      </c>
      <c r="B16" s="1" t="n">
        <f aca="false">VLOOKUP(A16, Sheet1!A:B, 2, FALSE())</f>
        <v>68.5</v>
      </c>
      <c r="C16" s="1" t="n">
        <f aca="false">VLOOKUP(A16, Safety!A:B, 2, FALSE())</f>
        <v>92.6594933294601</v>
      </c>
      <c r="D16" s="1" t="n">
        <f aca="false">VLOOKUP(A16, Health!A:B, 2, FALSE())</f>
        <v>66.5</v>
      </c>
      <c r="E16" s="1" t="n">
        <f aca="false">VLOOKUP(A16, Political!A:H, 8, FALSE())</f>
        <v>74.9466666666667</v>
      </c>
      <c r="F16" s="1" t="e">
        <f aca="false">VLOOKUP(A16, Pollution!A:B, 2, FALSE())</f>
        <v>#N/A</v>
      </c>
      <c r="G16" s="1" t="e">
        <f aca="false">VLOOKUP(A16, Climate!A:B, 2, FALSE())</f>
        <v>#N/A</v>
      </c>
      <c r="H16" s="1" t="n">
        <f aca="false">VLOOKUP(A16, English!A:C, 3, FALSE())</f>
        <v>538</v>
      </c>
      <c r="I16" s="1" t="n">
        <f aca="false">VLOOKUP(A16, Openness!A:C, 2, FALSE())</f>
        <v>27</v>
      </c>
      <c r="J16" s="1" t="e">
        <f aca="false">VLOOKUP(A16, Scenic!A:B, 2, FALSE())</f>
        <v>#N/A</v>
      </c>
      <c r="K16" s="1" t="e">
        <f aca="false">VLOOKUP(A16, Disaster!A:H, 4, FALSE())</f>
        <v>#N/A</v>
      </c>
      <c r="L16" s="1" t="n">
        <f aca="false">VLOOKUP(A16, LifeExp60!A:B, 2, FALSE())</f>
        <v>29.811</v>
      </c>
    </row>
    <row r="17" customFormat="false" ht="15.75" hidden="false" customHeight="true" outlineLevel="0" collapsed="false">
      <c r="A17" s="1" t="s">
        <v>27</v>
      </c>
      <c r="B17" s="1" t="n">
        <f aca="false">VLOOKUP(A17, Sheet1!A:B, 2, FALSE())</f>
        <v>33.3</v>
      </c>
      <c r="C17" s="1" t="n">
        <f aca="false">VLOOKUP(A17, Safety!A:B, 2, FALSE())</f>
        <v>94.8681529799742</v>
      </c>
      <c r="D17" s="1" t="n">
        <f aca="false">VLOOKUP(A17, Health!A:B, 2, FALSE())</f>
        <v>58.6</v>
      </c>
      <c r="E17" s="1" t="n">
        <f aca="false">VLOOKUP(A17, Political!A:H, 8, FALSE())</f>
        <v>58.1233333333333</v>
      </c>
      <c r="F17" s="1" t="n">
        <f aca="false">VLOOKUP(A17, Pollution!A:B, 2, FALSE())</f>
        <v>62.35</v>
      </c>
      <c r="G17" s="1" t="n">
        <f aca="false">VLOOKUP(A17, Climate!A:B, 2, FALSE())</f>
        <v>2087</v>
      </c>
      <c r="H17" s="1" t="n">
        <f aca="false">VLOOKUP(A17, English!A:C, 3, FALSE())</f>
        <v>455</v>
      </c>
      <c r="I17" s="1" t="n">
        <f aca="false">VLOOKUP(A17, Openness!A:C, 2, FALSE())</f>
        <v>53</v>
      </c>
      <c r="J17" s="1" t="n">
        <f aca="false">VLOOKUP(A17, Scenic!A:B, 2, FALSE())</f>
        <v>88</v>
      </c>
      <c r="K17" s="1" t="n">
        <f aca="false">VLOOKUP(A17, Disaster!A:H, 4, FALSE())</f>
        <v>1.01</v>
      </c>
      <c r="L17" s="1" t="n">
        <f aca="false">VLOOKUP(A17, LifeExp60!A:B, 2, FALSE())</f>
        <v>23.704</v>
      </c>
    </row>
    <row r="18" customFormat="false" ht="15.75" hidden="false" customHeight="true" outlineLevel="0" collapsed="false">
      <c r="A18" s="1" t="s">
        <v>28</v>
      </c>
      <c r="B18" s="1" t="n">
        <f aca="false">VLOOKUP(A18, Sheet1!A:B, 2, FALSE())</f>
        <v>49.3</v>
      </c>
      <c r="C18" s="1" t="n">
        <f aca="false">VLOOKUP(A18, Safety!A:B, 2, FALSE())</f>
        <v>85.5310193277919</v>
      </c>
      <c r="D18" s="1" t="n">
        <f aca="false">VLOOKUP(A18, Health!A:B, 2, FALSE())</f>
        <v>77.5</v>
      </c>
      <c r="E18" s="1" t="n">
        <f aca="false">VLOOKUP(A18, Political!A:H, 8, FALSE())</f>
        <v>79.4383333333333</v>
      </c>
      <c r="F18" s="1" t="n">
        <f aca="false">VLOOKUP(A18, Pollution!A:B, 2, FALSE())</f>
        <v>10.03</v>
      </c>
      <c r="G18" s="1" t="n">
        <f aca="false">VLOOKUP(A18, Climate!A:B, 2, FALSE())</f>
        <v>2382</v>
      </c>
      <c r="H18" s="1" t="n">
        <f aca="false">VLOOKUP(A18, English!A:C, 3, FALSE())</f>
        <v>616</v>
      </c>
      <c r="I18" s="1" t="n">
        <f aca="false">VLOOKUP(A18, Openness!A:C, 2, FALSE())</f>
        <v>49</v>
      </c>
      <c r="J18" s="1" t="n">
        <f aca="false">VLOOKUP(A18, Scenic!A:B, 2, FALSE())</f>
        <v>10</v>
      </c>
      <c r="K18" s="1" t="n">
        <f aca="false">VLOOKUP(A18, Disaster!A:H, 4, FALSE())</f>
        <v>0.16</v>
      </c>
      <c r="L18" s="1" t="n">
        <f aca="false">VLOOKUP(A18, LifeExp60!A:B, 2, FALSE())</f>
        <v>26.2</v>
      </c>
    </row>
    <row r="19" customFormat="false" ht="15.75" hidden="false" customHeight="true" outlineLevel="0" collapsed="false">
      <c r="A19" s="1" t="s">
        <v>29</v>
      </c>
      <c r="B19" s="1" t="n">
        <f aca="false">VLOOKUP(A19, Sheet1!A:B, 2, FALSE())</f>
        <v>44.7</v>
      </c>
      <c r="C19" s="1" t="n">
        <f aca="false">VLOOKUP(A19, Safety!A:B, 2, FALSE())</f>
        <v>82.4279118789546</v>
      </c>
      <c r="D19" s="1" t="n">
        <f aca="false">VLOOKUP(A19, Health!A:B, 2, FALSE())</f>
        <v>68.1</v>
      </c>
      <c r="E19" s="1" t="n">
        <f aca="false">VLOOKUP(A19, Political!A:H, 8, FALSE())</f>
        <v>85.8383333333333</v>
      </c>
      <c r="F19" s="1" t="n">
        <f aca="false">VLOOKUP(A19, Pollution!A:B, 2, FALSE())</f>
        <v>5.26</v>
      </c>
      <c r="G19" s="1" t="n">
        <f aca="false">VLOOKUP(A19, Climate!A:B, 2, FALSE())</f>
        <v>1962</v>
      </c>
      <c r="H19" s="1" t="n">
        <f aca="false">VLOOKUP(A19, English!A:C, 3, FALSE())</f>
        <v>609</v>
      </c>
      <c r="I19" s="1" t="n">
        <f aca="false">VLOOKUP(A19, Openness!A:C, 2, FALSE())</f>
        <v>48</v>
      </c>
      <c r="J19" s="1" t="n">
        <f aca="false">VLOOKUP(A19, Scenic!A:B, 2, FALSE())</f>
        <v>14</v>
      </c>
      <c r="K19" s="1" t="n">
        <f aca="false">VLOOKUP(A19, Disaster!A:H, 4, FALSE())</f>
        <v>1.07</v>
      </c>
      <c r="L19" s="1" t="n">
        <f aca="false">VLOOKUP(A19, LifeExp60!A:B, 2, FALSE())</f>
        <v>26.737</v>
      </c>
    </row>
    <row r="20" customFormat="false" ht="15.75" hidden="false" customHeight="true" outlineLevel="0" collapsed="false">
      <c r="A20" s="1" t="s">
        <v>30</v>
      </c>
      <c r="B20" s="1" t="n">
        <f aca="false">VLOOKUP(A20, Sheet1!A:B, 2, FALSE())</f>
        <v>47.2</v>
      </c>
      <c r="C20" s="1" t="n">
        <f aca="false">VLOOKUP(A20, Safety!A:B, 2, FALSE())</f>
        <v>83.1570306612959</v>
      </c>
      <c r="D20" s="1" t="n">
        <f aca="false">VLOOKUP(A20, Health!A:B, 2, FALSE())</f>
        <v>75.7</v>
      </c>
      <c r="E20" s="1" t="n">
        <f aca="false">VLOOKUP(A20, Political!A:H, 8, FALSE())</f>
        <v>77.2083333333333</v>
      </c>
      <c r="F20" s="1" t="n">
        <f aca="false">VLOOKUP(A20, Pollution!A:B, 2, FALSE())</f>
        <v>8.45</v>
      </c>
      <c r="G20" s="1" t="n">
        <f aca="false">VLOOKUP(A20, Climate!A:B, 2, FALSE())</f>
        <v>2389</v>
      </c>
      <c r="H20" s="1" t="n">
        <f aca="false">VLOOKUP(A20, English!A:C, 3, FALSE())</f>
        <v>608</v>
      </c>
      <c r="I20" s="1" t="n">
        <f aca="false">VLOOKUP(A20, Openness!A:C, 2, FALSE())</f>
        <v>31</v>
      </c>
      <c r="J20" s="1" t="n">
        <f aca="false">VLOOKUP(A20, Scenic!A:B, 2, FALSE())</f>
        <v>47</v>
      </c>
      <c r="K20" s="1" t="n">
        <f aca="false">VLOOKUP(A20, Disaster!A:H, 4, FALSE())</f>
        <v>1.79</v>
      </c>
      <c r="L20" s="1" t="n">
        <f aca="false">VLOOKUP(A20, LifeExp60!A:B, 2, FALSE())</f>
        <v>26.429</v>
      </c>
    </row>
    <row r="21" customFormat="false" ht="15.75" hidden="false" customHeight="true" outlineLevel="0" collapsed="false">
      <c r="A21" s="1" t="s">
        <v>31</v>
      </c>
      <c r="B21" s="1" t="n">
        <f aca="false">VLOOKUP(A21, Sheet1!A:B, 2, FALSE())</f>
        <v>46.6</v>
      </c>
      <c r="C21" s="1" t="n">
        <f aca="false">VLOOKUP(A21, Safety!A:B, 2, FALSE())</f>
        <v>74.8879889073467</v>
      </c>
      <c r="D21" s="1" t="n">
        <f aca="false">VLOOKUP(A21, Health!A:B, 2, FALSE())</f>
        <v>68.6</v>
      </c>
      <c r="E21" s="1" t="n">
        <f aca="false">VLOOKUP(A21, Political!A:H, 8, FALSE())</f>
        <v>82.7916666666667</v>
      </c>
      <c r="F21" s="1" t="n">
        <f aca="false">VLOOKUP(A21, Pollution!A:B, 2, FALSE())</f>
        <v>6.55</v>
      </c>
      <c r="G21" s="1" t="n">
        <f aca="false">VLOOKUP(A21, Climate!A:B, 2, FALSE())</f>
        <v>2015</v>
      </c>
      <c r="H21" s="1" t="n">
        <v>700</v>
      </c>
      <c r="I21" s="1" t="n">
        <f aca="false">VLOOKUP(A21, Openness!A:C, 2, FALSE())</f>
        <v>39</v>
      </c>
      <c r="J21" s="1" t="n">
        <f aca="false">VLOOKUP(A21, Scenic!A:B, 2, FALSE())</f>
        <v>18</v>
      </c>
      <c r="K21" s="1" t="n">
        <f aca="false">VLOOKUP(A21, Disaster!A:H, 4, FALSE())</f>
        <v>26.08</v>
      </c>
      <c r="L21" s="1" t="n">
        <f aca="false">VLOOKUP(A21, LifeExp60!A:B, 2, FALSE())</f>
        <v>27.137</v>
      </c>
    </row>
    <row r="22" customFormat="false" ht="15.75" hidden="false" customHeight="true" outlineLevel="0" collapsed="false">
      <c r="A22" s="1" t="s">
        <v>32</v>
      </c>
      <c r="B22" s="1" t="n">
        <f aca="false">VLOOKUP(A22, Sheet1!A:B, 2, FALSE())</f>
        <v>46.3</v>
      </c>
      <c r="C22" s="1" t="n">
        <f aca="false">VLOOKUP(A22, Safety!A:B, 2, FALSE())</f>
        <v>84.2669458569725</v>
      </c>
      <c r="D22" s="1" t="n">
        <f aca="false">VLOOKUP(A22, Health!A:B, 2, FALSE())</f>
        <v>77.5</v>
      </c>
      <c r="E22" s="1" t="n">
        <f aca="false">VLOOKUP(A22, Political!A:H, 8, FALSE())</f>
        <v>88.2966666666667</v>
      </c>
      <c r="F22" s="1" t="n">
        <f aca="false">VLOOKUP(A22, Pollution!A:B, 2, FALSE())</f>
        <v>4.57</v>
      </c>
      <c r="G22" s="1" t="n">
        <f aca="false">VLOOKUP(A22, Climate!A:B, 2, FALSE())</f>
        <v>1737</v>
      </c>
      <c r="H22" s="1" t="n">
        <f aca="false">VLOOKUP(A22, English!A:C, 3, FALSE())</f>
        <v>603</v>
      </c>
      <c r="I22" s="1" t="n">
        <f aca="false">VLOOKUP(A22, Openness!A:C, 2, FALSE())</f>
        <v>50</v>
      </c>
      <c r="J22" s="1" t="n">
        <f aca="false">VLOOKUP(A22, Scenic!A:B, 2, FALSE())</f>
        <v>17</v>
      </c>
      <c r="K22" s="1" t="n">
        <f aca="false">VLOOKUP(A22, Disaster!A:H, 4, FALSE())</f>
        <v>0.51</v>
      </c>
      <c r="L22" s="1" t="n">
        <f aca="false">VLOOKUP(A22, LifeExp60!A:B, 2, FALSE())</f>
        <v>26.546</v>
      </c>
    </row>
    <row r="23" customFormat="false" ht="15.75" hidden="false" customHeight="true" outlineLevel="0" collapsed="false">
      <c r="A23" s="1" t="s">
        <v>33</v>
      </c>
      <c r="B23" s="1" t="n">
        <f aca="false">VLOOKUP(A23, Sheet1!A:B, 2, FALSE())</f>
        <v>46.8</v>
      </c>
      <c r="C23" s="1" t="n">
        <f aca="false">VLOOKUP(A23, Safety!A:B, 2, FALSE())</f>
        <v>87.8915243878674</v>
      </c>
      <c r="D23" s="1" t="n">
        <f aca="false">VLOOKUP(A23, Health!A:B, 2, FALSE())</f>
        <v>70.8</v>
      </c>
      <c r="E23" s="1" t="n">
        <f aca="false">VLOOKUP(A23, Political!A:H, 8, FALSE())</f>
        <v>68.0316666666667</v>
      </c>
      <c r="F23" s="1" t="n">
        <f aca="false">VLOOKUP(A23, Pollution!A:B, 2, FALSE())</f>
        <v>57.19</v>
      </c>
      <c r="G23" s="1" t="n">
        <f aca="false">VLOOKUP(A23, Climate!A:B, 2, FALSE())</f>
        <v>1720</v>
      </c>
      <c r="H23" s="1" t="n">
        <f aca="false">VLOOKUP(A23, English!A:C, 3, FALSE())</f>
        <v>487</v>
      </c>
      <c r="I23" s="1" t="n">
        <f aca="false">VLOOKUP(A23, Openness!A:C, 2, FALSE())</f>
        <v>16</v>
      </c>
      <c r="J23" s="1" t="n">
        <f aca="false">VLOOKUP(A23, Scenic!A:B, 2, FALSE())</f>
        <v>60</v>
      </c>
      <c r="K23" s="1" t="n">
        <f aca="false">VLOOKUP(A23, Disaster!A:H, 4, FALSE())</f>
        <v>4.72</v>
      </c>
      <c r="L23" s="1" t="n">
        <f aca="false">VLOOKUP(A23, LifeExp60!A:B, 2, FALSE())</f>
        <v>25.574</v>
      </c>
    </row>
    <row r="24" customFormat="false" ht="15.75" hidden="false" customHeight="true" outlineLevel="0" collapsed="false">
      <c r="A24" s="1" t="s">
        <v>34</v>
      </c>
      <c r="B24" s="1" t="n">
        <f aca="false">VLOOKUP(A24, Sheet1!A:B, 2, FALSE())</f>
        <v>45.7</v>
      </c>
      <c r="C24" s="1" t="n">
        <f aca="false">VLOOKUP(A24, Safety!A:B, 2, FALSE())</f>
        <v>80.3697694111849</v>
      </c>
      <c r="D24" s="1" t="n">
        <f aca="false">VLOOKUP(A24, Health!A:B, 2, FALSE())</f>
        <v>76.9</v>
      </c>
      <c r="E24" s="1" t="n">
        <f aca="false">VLOOKUP(A24, Political!A:H, 8, FALSE())</f>
        <v>73.39</v>
      </c>
      <c r="F24" s="1" t="n">
        <f aca="false">VLOOKUP(A24, Pollution!A:B, 2, FALSE())</f>
        <v>8.23</v>
      </c>
      <c r="G24" s="1" t="n">
        <f aca="false">VLOOKUP(A24, Climate!A:B, 2, FALSE())</f>
        <v>2710</v>
      </c>
      <c r="H24" s="1" t="n">
        <f aca="false">VLOOKUP(A24, English!A:C, 3, FALSE())</f>
        <v>539</v>
      </c>
      <c r="I24" s="1" t="n">
        <f aca="false">VLOOKUP(A24, Openness!A:C, 2, FALSE())</f>
        <v>34</v>
      </c>
      <c r="J24" s="1" t="n">
        <f aca="false">VLOOKUP(A24, Scenic!A:B, 2, FALSE())</f>
        <v>20</v>
      </c>
      <c r="K24" s="1" t="n">
        <f aca="false">VLOOKUP(A24, Disaster!A:H, 4, FALSE())</f>
        <v>2.63</v>
      </c>
      <c r="L24" s="1" t="n">
        <f aca="false">VLOOKUP(A24, LifeExp60!A:B, 2, FALSE())</f>
        <v>28.253</v>
      </c>
    </row>
    <row r="25" customFormat="false" ht="15.75" hidden="false" customHeight="true" outlineLevel="0" collapsed="false">
      <c r="A25" s="1" t="s">
        <v>35</v>
      </c>
      <c r="B25" s="1" t="n">
        <f aca="false">VLOOKUP(A25, Sheet1!A:B, 2, FALSE())</f>
        <v>43.9</v>
      </c>
      <c r="C25" s="1" t="n">
        <f aca="false">VLOOKUP(A25, Safety!A:B, 2, FALSE())</f>
        <v>79.2887761854769</v>
      </c>
      <c r="D25" s="1" t="n">
        <f aca="false">VLOOKUP(A25, Health!A:B, 2, FALSE())</f>
        <v>68.1</v>
      </c>
      <c r="E25" s="1" t="n">
        <f aca="false">VLOOKUP(A25, Political!A:H, 8, FALSE())</f>
        <v>87.2816666666667</v>
      </c>
      <c r="F25" s="1" t="n">
        <f aca="false">VLOOKUP(A25, Pollution!A:B, 2, FALSE())</f>
        <v>6.88</v>
      </c>
      <c r="G25" s="1" t="n">
        <f aca="false">VLOOKUP(A25, Climate!A:B, 2, FALSE())</f>
        <v>3149</v>
      </c>
      <c r="H25" s="1" t="n">
        <v>700</v>
      </c>
      <c r="I25" s="1" t="n">
        <f aca="false">VLOOKUP(A25, Openness!A:C, 2, FALSE())</f>
        <v>21</v>
      </c>
      <c r="J25" s="1" t="n">
        <f aca="false">VLOOKUP(A25, Scenic!A:B, 2, FALSE())</f>
        <v>2</v>
      </c>
      <c r="K25" s="1" t="n">
        <f aca="false">VLOOKUP(A25, Disaster!A:H, 4, FALSE())</f>
        <v>18.1</v>
      </c>
      <c r="L25" s="1" t="n">
        <f aca="false">VLOOKUP(A25, LifeExp60!A:B, 2, FALSE())</f>
        <v>26.177</v>
      </c>
    </row>
    <row r="26" customFormat="false" ht="15.75" hidden="false" customHeight="true" outlineLevel="0" collapsed="false">
      <c r="A26" s="1" t="s">
        <v>36</v>
      </c>
      <c r="B26" s="1" t="n">
        <f aca="false">VLOOKUP(A26, Sheet1!A:B, 2, FALSE())</f>
        <v>45.8</v>
      </c>
      <c r="C26" s="1" t="n">
        <f aca="false">VLOOKUP(A26, Safety!A:B, 2, FALSE())</f>
        <v>36.1185450450645</v>
      </c>
      <c r="D26" s="1" t="n">
        <f aca="false">VLOOKUP(A26, Health!A:B, 2, FALSE())</f>
        <v>58.7</v>
      </c>
      <c r="E26" s="1" t="n">
        <f aca="false">VLOOKUP(A26, Political!A:H, 8, FALSE())</f>
        <v>61.305</v>
      </c>
      <c r="F26" s="1" t="n">
        <f aca="false">VLOOKUP(A26, Pollution!A:B, 2, FALSE())</f>
        <v>7.84</v>
      </c>
      <c r="G26" s="1" t="e">
        <f aca="false">VLOOKUP(A26, Climate!A:B, 2, FALSE())</f>
        <v>#N/A</v>
      </c>
      <c r="H26" s="1" t="n">
        <v>700</v>
      </c>
      <c r="I26" s="1" t="e">
        <f aca="false">VLOOKUP(A26, Openness!A:C, 2, FALSE())</f>
        <v>#N/A</v>
      </c>
      <c r="J26" s="1" t="e">
        <f aca="false">VLOOKUP(A26, Scenic!A:B, 2, FALSE())</f>
        <v>#N/A</v>
      </c>
      <c r="K26" s="1" t="e">
        <f aca="false">VLOOKUP(A26, Disaster!A:H, 4, FALSE())</f>
        <v>#N/A</v>
      </c>
      <c r="L26" s="1" t="n">
        <f aca="false">VLOOKUP(A26, LifeExp60!A:B, 2, FALSE())</f>
        <v>27.581</v>
      </c>
    </row>
    <row r="27" customFormat="false" ht="15.75" hidden="false" customHeight="true" outlineLevel="0" collapsed="false">
      <c r="A27" s="1" t="s">
        <v>37</v>
      </c>
      <c r="B27" s="1" t="n">
        <f aca="false">VLOOKUP(A27, Sheet1!A:B, 2, FALSE())</f>
        <v>30.2</v>
      </c>
      <c r="C27" s="1" t="n">
        <f aca="false">VLOOKUP(A27, Safety!A:B, 2, FALSE())</f>
        <v>97.0067994423654</v>
      </c>
      <c r="D27" s="1" t="n">
        <f aca="false">VLOOKUP(A27, Health!A:B, 2, FALSE())</f>
        <v>62.7</v>
      </c>
      <c r="E27" s="1" t="n">
        <f aca="false">VLOOKUP(A27, Political!A:H, 8, FALSE())</f>
        <v>61.0083333333333</v>
      </c>
      <c r="F27" s="1" t="n">
        <f aca="false">VLOOKUP(A27, Pollution!A:B, 2, FALSE())</f>
        <v>46.86</v>
      </c>
      <c r="G27" s="1" t="n">
        <f aca="false">VLOOKUP(A27, Climate!A:B, 2, FALSE())</f>
        <v>1762</v>
      </c>
      <c r="H27" s="1" t="n">
        <f aca="false">VLOOKUP(A27, English!A:C, 3, FALSE())</f>
        <v>407</v>
      </c>
      <c r="I27" s="1" t="n">
        <f aca="false">VLOOKUP(A27, Openness!A:C, 2, FALSE())</f>
        <v>12</v>
      </c>
      <c r="J27" s="1" t="n">
        <f aca="false">VLOOKUP(A27, Scenic!A:B, 2, FALSE())</f>
        <v>79</v>
      </c>
      <c r="K27" s="1" t="n">
        <f aca="false">VLOOKUP(A27, Disaster!A:H, 4, FALSE())</f>
        <v>7.04</v>
      </c>
      <c r="L27" s="1" t="n">
        <f aca="false">VLOOKUP(A27, LifeExp60!A:B, 2, FALSE())</f>
        <v>24.615</v>
      </c>
    </row>
    <row r="28" customFormat="false" ht="15.75" hidden="false" customHeight="true" outlineLevel="0" collapsed="false">
      <c r="A28" s="1" t="s">
        <v>38</v>
      </c>
      <c r="B28" s="1" t="n">
        <f aca="false">VLOOKUP(A28, Sheet1!A:B, 2, FALSE())</f>
        <v>37</v>
      </c>
      <c r="C28" s="1" t="n">
        <f aca="false">VLOOKUP(A28, Safety!A:B, 2, FALSE())</f>
        <v>91.0304955789774</v>
      </c>
      <c r="D28" s="1" t="n">
        <f aca="false">VLOOKUP(A28, Health!A:B, 2, FALSE())</f>
        <v>83</v>
      </c>
      <c r="E28" s="1" t="n">
        <f aca="false">VLOOKUP(A28, Political!A:H, 8, FALSE())</f>
        <v>76.0583333333333</v>
      </c>
      <c r="F28" s="1" t="n">
        <f aca="false">VLOOKUP(A28, Pollution!A:B, 2, FALSE())</f>
        <v>21.89</v>
      </c>
      <c r="G28" s="1" t="n">
        <f aca="false">VLOOKUP(A28, Climate!A:B, 2, FALSE())</f>
        <v>1890</v>
      </c>
      <c r="H28" s="1" t="n">
        <f aca="false">VLOOKUP(A28, English!A:C, 3, FALSE())</f>
        <v>522</v>
      </c>
      <c r="I28" s="1" t="n">
        <f aca="false">VLOOKUP(A28, Openness!A:C, 2, FALSE())</f>
        <v>36</v>
      </c>
      <c r="J28" s="1" t="n">
        <f aca="false">VLOOKUP(A28, Scenic!A:B, 2, FALSE())</f>
        <v>70</v>
      </c>
      <c r="K28" s="1" t="n">
        <f aca="false">VLOOKUP(A28, Disaster!A:H, 4, FALSE())</f>
        <v>9.83</v>
      </c>
      <c r="L28" s="1" t="n">
        <f aca="false">VLOOKUP(A28, LifeExp60!A:B, 2, FALSE())</f>
        <v>28.35</v>
      </c>
    </row>
    <row r="29" customFormat="false" ht="15.75" hidden="false" customHeight="true" outlineLevel="0" collapsed="false">
      <c r="A29" s="1" t="s">
        <v>39</v>
      </c>
      <c r="B29" s="1" t="n">
        <f aca="false">VLOOKUP(A29, Sheet1!A:B, 2, FALSE())</f>
        <v>35.1</v>
      </c>
      <c r="C29" s="1" t="n">
        <f aca="false">VLOOKUP(A29, Safety!A:B, 2, FALSE())</f>
        <v>95.8837636041896</v>
      </c>
      <c r="D29" s="1" t="e">
        <f aca="false">VLOOKUP(A29, Health!A:B, 2, FALSE())</f>
        <v>#N/A</v>
      </c>
      <c r="E29" s="1" t="n">
        <f aca="false">VLOOKUP(A29, Political!A:H, 8, FALSE())</f>
        <v>56.5816666666667</v>
      </c>
      <c r="F29" s="1" t="n">
        <f aca="false">VLOOKUP(A29, Pollution!A:B, 2, FALSE())</f>
        <v>56.57</v>
      </c>
      <c r="G29" s="1" t="e">
        <f aca="false">VLOOKUP(A29, Climate!A:B, 2, FALSE())</f>
        <v>#N/A</v>
      </c>
      <c r="H29" s="1" t="e">
        <f aca="false">VLOOKUP(A29, English!A:C, 3, FALSE())</f>
        <v>#N/A</v>
      </c>
      <c r="I29" s="1" t="n">
        <f aca="false">VLOOKUP(A29, Openness!A:C, 2, FALSE())</f>
        <v>18</v>
      </c>
      <c r="J29" s="1" t="n">
        <f aca="false">VLOOKUP(A29, Scenic!A:B, 2, FALSE())</f>
        <v>84</v>
      </c>
      <c r="K29" s="1" t="n">
        <f aca="false">VLOOKUP(A29, Disaster!A:H, 4, FALSE())</f>
        <v>0.12</v>
      </c>
      <c r="L29" s="1" t="n">
        <f aca="false">VLOOKUP(A29, LifeExp60!A:B, 2, FALSE())</f>
        <v>24.508</v>
      </c>
    </row>
    <row r="30" customFormat="false" ht="15.75" hidden="false" customHeight="true" outlineLevel="0" collapsed="false">
      <c r="A30" s="1" t="s">
        <v>40</v>
      </c>
      <c r="B30" s="1" t="n">
        <f aca="false">VLOOKUP(A30, Sheet1!A:B, 2, FALSE())</f>
        <v>32.1</v>
      </c>
      <c r="C30" s="1" t="n">
        <f aca="false">VLOOKUP(A30, Safety!A:B, 2, FALSE())</f>
        <v>95.2578010355819</v>
      </c>
      <c r="D30" s="1" t="n">
        <f aca="false">VLOOKUP(A30, Health!A:B, 2, FALSE())</f>
        <v>79.9</v>
      </c>
      <c r="E30" s="1" t="n">
        <f aca="false">VLOOKUP(A30, Political!A:H, 8, FALSE())</f>
        <v>82.9616666666667</v>
      </c>
      <c r="F30" s="1" t="n">
        <f aca="false">VLOOKUP(A30, Pollution!A:B, 2, FALSE())</f>
        <v>11.45</v>
      </c>
      <c r="G30" s="1" t="n">
        <f aca="false">VLOOKUP(A30, Climate!A:B, 2, FALSE())</f>
        <v>2190</v>
      </c>
      <c r="H30" s="1" t="n">
        <f aca="false">VLOOKUP(A30, English!A:C, 3, FALSE())</f>
        <v>446</v>
      </c>
      <c r="I30" s="1" t="n">
        <f aca="false">VLOOKUP(A30, Openness!A:C, 2, FALSE())</f>
        <v>35</v>
      </c>
      <c r="J30" s="1" t="n">
        <f aca="false">VLOOKUP(A30, Scenic!A:B, 2, FALSE())</f>
        <v>23</v>
      </c>
      <c r="K30" s="1" t="n">
        <f aca="false">VLOOKUP(A30, Disaster!A:H, 4, FALSE())</f>
        <v>43.35</v>
      </c>
      <c r="L30" s="1" t="n">
        <f aca="false">VLOOKUP(A30, LifeExp60!A:B, 2, FALSE())</f>
        <v>29.482</v>
      </c>
    </row>
    <row r="31" customFormat="false" ht="15.75" hidden="false" customHeight="true" outlineLevel="0" collapsed="false">
      <c r="A31" s="1" t="s">
        <v>41</v>
      </c>
      <c r="B31" s="1" t="n">
        <f aca="false">VLOOKUP(A31, Sheet1!A:B, 2, FALSE())</f>
        <v>38.1</v>
      </c>
      <c r="C31" s="1" t="n">
        <f aca="false">VLOOKUP(A31, Safety!A:B, 2, FALSE())</f>
        <v>87.9187087438419</v>
      </c>
      <c r="D31" s="1" t="n">
        <f aca="false">VLOOKUP(A31, Health!A:B, 2, FALSE())</f>
        <v>76.7</v>
      </c>
      <c r="E31" s="1" t="n">
        <f aca="false">VLOOKUP(A31, Political!A:H, 8, FALSE())</f>
        <v>69.885</v>
      </c>
      <c r="F31" s="1" t="n">
        <f aca="false">VLOOKUP(A31, Pollution!A:B, 2, FALSE())</f>
        <v>10.08</v>
      </c>
      <c r="G31" s="1" t="n">
        <f aca="false">VLOOKUP(A31, Climate!A:B, 2, FALSE())</f>
        <v>3001</v>
      </c>
      <c r="H31" s="1" t="n">
        <f aca="false">VLOOKUP(A31, English!A:C, 3, FALSE())</f>
        <v>540</v>
      </c>
      <c r="I31" s="1" t="n">
        <f aca="false">VLOOKUP(A31, Openness!A:C, 2, FALSE())</f>
        <v>11</v>
      </c>
      <c r="J31" s="1" t="n">
        <f aca="false">VLOOKUP(A31, Scenic!A:B, 2, FALSE())</f>
        <v>5</v>
      </c>
      <c r="K31" s="1" t="n">
        <f aca="false">VLOOKUP(A31, Disaster!A:H, 4, FALSE())</f>
        <v>7.54</v>
      </c>
      <c r="L31" s="1" t="n">
        <f aca="false">VLOOKUP(A31, LifeExp60!A:B, 2, FALSE())</f>
        <v>27.982</v>
      </c>
    </row>
    <row r="32" customFormat="false" ht="15.75" hidden="false" customHeight="true" outlineLevel="0" collapsed="false">
      <c r="A32" s="1" t="s">
        <v>42</v>
      </c>
      <c r="B32" s="1" t="n">
        <f aca="false">VLOOKUP(A32, Sheet1!A:B, 2, FALSE())</f>
        <v>39.2</v>
      </c>
      <c r="C32" s="1" t="n">
        <f aca="false">VLOOKUP(A32, Safety!A:B, 2, FALSE())</f>
        <v>78.5983712536494</v>
      </c>
      <c r="D32" s="1" t="n">
        <f aca="false">VLOOKUP(A32, Health!A:B, 2, FALSE())</f>
        <v>75.4</v>
      </c>
      <c r="E32" s="1" t="n">
        <f aca="false">VLOOKUP(A32, Political!A:H, 8, FALSE())</f>
        <v>81.4966666666667</v>
      </c>
      <c r="F32" s="1" t="n">
        <f aca="false">VLOOKUP(A32, Pollution!A:B, 2, FALSE())</f>
        <v>5.92</v>
      </c>
      <c r="G32" s="1" t="n">
        <f aca="false">VLOOKUP(A32, Climate!A:B, 2, FALSE())</f>
        <v>1908</v>
      </c>
      <c r="H32" s="1" t="n">
        <f aca="false">VLOOKUP(A32, English!A:C, 3, FALSE())</f>
        <v>561</v>
      </c>
      <c r="I32" s="1" t="e">
        <f aca="false">VLOOKUP(A32, Openness!A:C, 2, FALSE())</f>
        <v>#N/A</v>
      </c>
      <c r="J32" s="1" t="n">
        <f aca="false">VLOOKUP(A32, Scenic!A:B, 2, FALSE())</f>
        <v>62</v>
      </c>
      <c r="K32" s="1" t="n">
        <f aca="false">VLOOKUP(A32, Disaster!A:H, 4, FALSE())</f>
        <v>0.53</v>
      </c>
      <c r="L32" s="1" t="n">
        <f aca="false">VLOOKUP(A32, LifeExp60!A:B, 2, FALSE())</f>
        <v>25.402</v>
      </c>
    </row>
    <row r="33" customFormat="false" ht="15.75" hidden="false" customHeight="true" outlineLevel="0" collapsed="false">
      <c r="A33" s="1" t="s">
        <v>43</v>
      </c>
      <c r="B33" s="1" t="n">
        <f aca="false">VLOOKUP(A33, Sheet1!A:B, 2, FALSE())</f>
        <v>41.9</v>
      </c>
      <c r="C33" s="1" t="n">
        <f aca="false">VLOOKUP(A33, Safety!A:B, 2, FALSE())</f>
        <v>89.6554952755421</v>
      </c>
      <c r="D33" s="1" t="n">
        <f aca="false">VLOOKUP(A33, Health!A:B, 2, FALSE())</f>
        <v>64.8</v>
      </c>
      <c r="E33" s="1" t="n">
        <f aca="false">VLOOKUP(A33, Political!A:H, 8, FALSE())</f>
        <v>69.39</v>
      </c>
      <c r="F33" s="1" t="n">
        <f aca="false">VLOOKUP(A33, Pollution!A:B, 2, FALSE())</f>
        <v>14.29</v>
      </c>
      <c r="G33" s="1" t="n">
        <f aca="false">VLOOKUP(A33, Climate!A:B, 2, FALSE())</f>
        <v>2758</v>
      </c>
      <c r="H33" s="1" t="n">
        <f aca="false">VLOOKUP(A33, English!A:C, 3, FALSE())</f>
        <v>513</v>
      </c>
      <c r="I33" s="1" t="n">
        <f aca="false">VLOOKUP(A33, Openness!A:C, 2, FALSE())</f>
        <v>33</v>
      </c>
      <c r="J33" s="1" t="n">
        <f aca="false">VLOOKUP(A33, Scenic!A:B, 2, FALSE())</f>
        <v>3</v>
      </c>
      <c r="K33" s="1" t="n">
        <f aca="false">VLOOKUP(A33, Disaster!A:H, 4, FALSE())</f>
        <v>8.86</v>
      </c>
      <c r="L33" s="1" t="n">
        <f aca="false">VLOOKUP(A33, LifeExp60!A:B, 2, FALSE())</f>
        <v>27.372</v>
      </c>
    </row>
    <row r="34" customFormat="false" ht="15.75" hidden="false" customHeight="true" outlineLevel="0" collapsed="false">
      <c r="A34" s="1" t="s">
        <v>44</v>
      </c>
      <c r="B34" s="1" t="n">
        <f aca="false">VLOOKUP(A34, Sheet1!A:B, 2, FALSE())</f>
        <v>30.3</v>
      </c>
      <c r="C34" s="1" t="n">
        <f aca="false">VLOOKUP(A34, Safety!A:B, 2, FALSE())</f>
        <v>84.8188764750254</v>
      </c>
      <c r="D34" s="1" t="n">
        <f aca="false">VLOOKUP(A34, Health!A:B, 2, FALSE())</f>
        <v>62.2</v>
      </c>
      <c r="E34" s="1" t="n">
        <f aca="false">VLOOKUP(A34, Political!A:H, 8, FALSE())</f>
        <v>58.9716666666667</v>
      </c>
      <c r="F34" s="1" t="n">
        <f aca="false">VLOOKUP(A34, Pollution!A:B, 2, FALSE())</f>
        <v>73.52</v>
      </c>
      <c r="G34" s="1" t="n">
        <f aca="false">VLOOKUP(A34, Climate!A:B, 2, FALSE())</f>
        <v>1986</v>
      </c>
      <c r="H34" s="1" t="n">
        <f aca="false">VLOOKUP(A34, English!A:C, 3, FALSE())</f>
        <v>404</v>
      </c>
      <c r="I34" s="1" t="n">
        <f aca="false">VLOOKUP(A34, Openness!A:C, 2, FALSE())</f>
        <v>25</v>
      </c>
      <c r="J34" s="1" t="n">
        <f aca="false">VLOOKUP(A34, Scenic!A:B, 2, FALSE())</f>
        <v>83</v>
      </c>
      <c r="K34" s="1" t="n">
        <f aca="false">VLOOKUP(A34, Disaster!A:H, 4, FALSE())</f>
        <v>4.32</v>
      </c>
      <c r="L34" s="1" t="n">
        <f aca="false">VLOOKUP(A34, LifeExp60!A:B, 2, FALSE())</f>
        <v>23.887</v>
      </c>
    </row>
    <row r="35" customFormat="false" ht="15.75" hidden="false" customHeight="true" outlineLevel="0" collapsed="false">
      <c r="A35" s="1" t="s">
        <v>45</v>
      </c>
      <c r="B35" s="1" t="n">
        <f aca="false">VLOOKUP(A35, Sheet1!A:B, 2, FALSE())</f>
        <v>42.4</v>
      </c>
      <c r="C35" s="1" t="n">
        <f aca="false">VLOOKUP(A35, Safety!A:B, 2, FALSE())</f>
        <v>84.5588761855241</v>
      </c>
      <c r="D35" s="1" t="n">
        <f aca="false">VLOOKUP(A35, Health!A:B, 2, FALSE())</f>
        <v>56.6</v>
      </c>
      <c r="E35" s="1" t="n">
        <f aca="false">VLOOKUP(A35, Political!A:H, 8, FALSE())</f>
        <v>69.46</v>
      </c>
      <c r="F35" s="1" t="n">
        <f aca="false">VLOOKUP(A35, Pollution!A:B, 2, FALSE())</f>
        <v>16.07</v>
      </c>
      <c r="G35" s="1" t="n">
        <f aca="false">VLOOKUP(A35, Climate!A:B, 2, FALSE())</f>
        <v>2823</v>
      </c>
      <c r="H35" s="1" t="n">
        <f aca="false">VLOOKUP(A35, English!A:C, 3, FALSE())</f>
        <v>537</v>
      </c>
      <c r="I35" s="1" t="n">
        <f aca="false">VLOOKUP(A35, Openness!A:C, 2, FALSE())</f>
        <v>17</v>
      </c>
      <c r="J35" s="1" t="n">
        <f aca="false">VLOOKUP(A35, Scenic!A:B, 2, FALSE())</f>
        <v>35</v>
      </c>
      <c r="K35" s="1" t="n">
        <f aca="false">VLOOKUP(A35, Disaster!A:H, 4, FALSE())</f>
        <v>0.68</v>
      </c>
      <c r="L35" s="1" t="n">
        <f aca="false">VLOOKUP(A35, LifeExp60!A:B, 2, FALSE())</f>
        <v>25.234</v>
      </c>
    </row>
    <row r="36" customFormat="false" ht="15.75" hidden="false" customHeight="true" outlineLevel="0" collapsed="false">
      <c r="A36" s="1" t="s">
        <v>46</v>
      </c>
      <c r="B36" s="1" t="n">
        <f aca="false">VLOOKUP(A36, Sheet1!A:B, 2, FALSE())</f>
        <v>43.3</v>
      </c>
      <c r="C36" s="1" t="n">
        <f aca="false">VLOOKUP(A36, Safety!A:B, 2, FALSE())</f>
        <v>89.7289477892005</v>
      </c>
      <c r="D36" s="1" t="n">
        <f aca="false">VLOOKUP(A36, Health!A:B, 2, FALSE())</f>
        <v>53.3</v>
      </c>
      <c r="E36" s="1" t="n">
        <f aca="false">VLOOKUP(A36, Political!A:H, 8, FALSE())</f>
        <v>68.53</v>
      </c>
      <c r="F36" s="1" t="n">
        <f aca="false">VLOOKUP(A36, Pollution!A:B, 2, FALSE())</f>
        <v>10.81</v>
      </c>
      <c r="G36" s="1" t="e">
        <f aca="false">VLOOKUP(A36, Climate!A:B, 2, FALSE())</f>
        <v>#N/A</v>
      </c>
      <c r="H36" s="1" t="e">
        <f aca="false">VLOOKUP(A36, English!A:C, 3, FALSE())</f>
        <v>#N/A</v>
      </c>
      <c r="I36" s="1" t="n">
        <f aca="false">VLOOKUP(A36, Openness!A:C, 2, FALSE())</f>
        <v>32</v>
      </c>
      <c r="J36" s="1" t="e">
        <f aca="false">VLOOKUP(A36, Scenic!A:B, 2, FALSE())</f>
        <v>#N/A</v>
      </c>
      <c r="K36" s="1" t="n">
        <f aca="false">VLOOKUP(A36, Disaster!A:H, 4, FALSE())</f>
        <v>0.15</v>
      </c>
      <c r="L36" s="1" t="n">
        <f aca="false">VLOOKUP(A36, LifeExp60!A:B, 2, FALSE())</f>
        <v>27.533</v>
      </c>
    </row>
    <row r="37" customFormat="false" ht="15.75" hidden="false" customHeight="true" outlineLevel="0" collapsed="false">
      <c r="A37" s="1" t="s">
        <v>47</v>
      </c>
      <c r="B37" s="1" t="n">
        <f aca="false">VLOOKUP(A37, Sheet1!A:B, 2, FALSE())</f>
        <v>37</v>
      </c>
      <c r="C37" s="1" t="n">
        <f aca="false">VLOOKUP(A37, Safety!A:B, 2, FALSE())</f>
        <v>86.8946349036275</v>
      </c>
      <c r="D37" s="1" t="n">
        <f aca="false">VLOOKUP(A37, Health!A:B, 2, FALSE())</f>
        <v>75.6</v>
      </c>
      <c r="E37" s="1" t="n">
        <f aca="false">VLOOKUP(A37, Political!A:H, 8, FALSE())</f>
        <v>76.0433333333333</v>
      </c>
      <c r="F37" s="1" t="n">
        <f aca="false">VLOOKUP(A37, Pollution!A:B, 2, FALSE())</f>
        <v>12.75</v>
      </c>
      <c r="G37" s="1" t="n">
        <f aca="false">VLOOKUP(A37, Climate!A:B, 2, FALSE())</f>
        <v>2342</v>
      </c>
      <c r="H37" s="1" t="n">
        <f aca="false">VLOOKUP(A37, English!A:C, 3, FALSE())</f>
        <v>582</v>
      </c>
      <c r="I37" s="1" t="n">
        <f aca="false">VLOOKUP(A37, Openness!A:C, 2, FALSE())</f>
        <v>47</v>
      </c>
      <c r="J37" s="1" t="n">
        <f aca="false">VLOOKUP(A37, Scenic!A:B, 2, FALSE())</f>
        <v>53</v>
      </c>
      <c r="K37" s="1" t="n">
        <f aca="false">VLOOKUP(A37, Disaster!A:H, 4, FALSE())</f>
        <v>0.1</v>
      </c>
      <c r="L37" s="1" t="n">
        <f aca="false">VLOOKUP(A37, LifeExp60!A:B, 2, FALSE())</f>
        <v>24.623</v>
      </c>
    </row>
    <row r="38" customFormat="false" ht="15.75" hidden="false" customHeight="true" outlineLevel="0" collapsed="false">
      <c r="A38" s="1" t="s">
        <v>48</v>
      </c>
      <c r="B38" s="1" t="n">
        <f aca="false">VLOOKUP(A38, Sheet1!A:B, 2, FALSE())</f>
        <v>32.6</v>
      </c>
      <c r="C38" s="1" t="e">
        <f aca="false">VLOOKUP(A38, Safety!A:B, 2, FALSE())</f>
        <v>#N/A</v>
      </c>
      <c r="D38" s="1" t="n">
        <f aca="false">VLOOKUP(A38, Health!A:B, 2, FALSE())</f>
        <v>87.1</v>
      </c>
      <c r="E38" s="1" t="n">
        <f aca="false">VLOOKUP(A38, Political!A:H, 8, FALSE())</f>
        <v>78.2883333333333</v>
      </c>
      <c r="F38" s="1" t="e">
        <f aca="false">VLOOKUP(A38, Pollution!A:B, 2, FALSE())</f>
        <v>#N/A</v>
      </c>
      <c r="G38" s="1" t="n">
        <f aca="false">VLOOKUP(A38, Climate!A:B, 2, FALSE())</f>
        <v>2218</v>
      </c>
      <c r="H38" s="1" t="e">
        <f aca="false">VLOOKUP(A38, English!A:C, 3, FALSE())</f>
        <v>#N/A</v>
      </c>
      <c r="I38" s="1" t="e">
        <f aca="false">VLOOKUP(A38, Openness!A:C, 2, FALSE())</f>
        <v>#N/A</v>
      </c>
      <c r="J38" s="1" t="e">
        <f aca="false">VLOOKUP(A38, Scenic!A:B, 2, FALSE())</f>
        <v>#N/A</v>
      </c>
      <c r="K38" s="1" t="e">
        <f aca="false">VLOOKUP(A38, Disaster!A:H, 4, FALSE())</f>
        <v>#N/A</v>
      </c>
      <c r="L38" s="1" t="e">
        <f aca="false">VLOOKUP(A38, LifeExp60!A:B, 2, FALSE())</f>
        <v>#N/A</v>
      </c>
    </row>
    <row r="39" customFormat="false" ht="15.75" hidden="false" customHeight="true" outlineLevel="0" collapsed="false">
      <c r="A39" s="1" t="s">
        <v>49</v>
      </c>
      <c r="B39" s="1" t="n">
        <f aca="false">VLOOKUP(A39, Sheet1!A:B, 2, FALSE())</f>
        <v>37.2</v>
      </c>
      <c r="C39" s="1" t="n">
        <f aca="false">VLOOKUP(A39, Safety!A:B, 2, FALSE())</f>
        <v>89.6848481352723</v>
      </c>
      <c r="D39" s="1" t="n">
        <f aca="false">VLOOKUP(A39, Health!A:B, 2, FALSE())</f>
        <v>66.2</v>
      </c>
      <c r="E39" s="1" t="n">
        <f aca="false">VLOOKUP(A39, Political!A:H, 8, FALSE())</f>
        <v>72.5216666666667</v>
      </c>
      <c r="F39" s="1" t="n">
        <f aca="false">VLOOKUP(A39, Pollution!A:B, 2, FALSE())</f>
        <v>12.56</v>
      </c>
      <c r="G39" s="1" t="n">
        <f aca="false">VLOOKUP(A39, Climate!A:B, 2, FALSE())</f>
        <v>2372</v>
      </c>
      <c r="H39" s="1" t="e">
        <f aca="false">VLOOKUP(A39, English!A:C, 3, FALSE())</f>
        <v>#N/A</v>
      </c>
      <c r="I39" s="1" t="e">
        <f aca="false">VLOOKUP(A39, Openness!A:C, 2, FALSE())</f>
        <v>#N/A</v>
      </c>
      <c r="J39" s="1" t="n">
        <f aca="false">VLOOKUP(A39, Scenic!A:B, 2, FALSE())</f>
        <v>55</v>
      </c>
      <c r="K39" s="1" t="n">
        <f aca="false">VLOOKUP(A39, Disaster!A:H, 4, FALSE())</f>
        <v>0.95</v>
      </c>
      <c r="L39" s="1" t="n">
        <f aca="false">VLOOKUP(A39, LifeExp60!A:B, 2, FALSE())</f>
        <v>25.986</v>
      </c>
    </row>
    <row r="40" customFormat="false" ht="15.75" hidden="false" customHeight="true" outlineLevel="0" collapsed="false">
      <c r="A40" s="1" t="s">
        <v>50</v>
      </c>
      <c r="B40" s="1" t="n">
        <f aca="false">VLOOKUP(A40, Sheet1!A:B, 2, FALSE())</f>
        <v>33.5</v>
      </c>
      <c r="C40" s="1" t="n">
        <f aca="false">VLOOKUP(A40, Safety!A:B, 2, FALSE())</f>
        <v>70.3629504769241</v>
      </c>
      <c r="D40" s="1" t="n">
        <f aca="false">VLOOKUP(A40, Health!A:B, 2, FALSE())</f>
        <v>75.3</v>
      </c>
      <c r="E40" s="1" t="n">
        <f aca="false">VLOOKUP(A40, Political!A:H, 8, FALSE())</f>
        <v>77.7016666666667</v>
      </c>
      <c r="F40" s="1" t="n">
        <f aca="false">VLOOKUP(A40, Pollution!A:B, 2, FALSE())</f>
        <v>10.75</v>
      </c>
      <c r="G40" s="1" t="n">
        <f aca="false">VLOOKUP(A40, Climate!A:B, 2, FALSE())</f>
        <v>2068</v>
      </c>
      <c r="H40" s="1" t="n">
        <f aca="false">VLOOKUP(A40, English!A:C, 3, FALSE())</f>
        <v>543</v>
      </c>
      <c r="I40" s="1" t="e">
        <f aca="false">VLOOKUP(A40, Openness!A:C, 2, FALSE())</f>
        <v>#N/A</v>
      </c>
      <c r="J40" s="1" t="n">
        <f aca="false">VLOOKUP(A40, Scenic!A:B, 2, FALSE())</f>
        <v>65</v>
      </c>
      <c r="K40" s="1" t="n">
        <f aca="false">VLOOKUP(A40, Disaster!A:H, 4, FALSE())</f>
        <v>0.63</v>
      </c>
      <c r="L40" s="1" t="n">
        <f aca="false">VLOOKUP(A40, LifeExp60!A:B, 2, FALSE())</f>
        <v>23.837</v>
      </c>
    </row>
    <row r="41" customFormat="false" ht="15.75" hidden="false" customHeight="true" outlineLevel="0" collapsed="false">
      <c r="A41" s="1" t="s">
        <v>51</v>
      </c>
      <c r="B41" s="1" t="n">
        <f aca="false">VLOOKUP(A41, Sheet1!A:B, 2, FALSE())</f>
        <v>32.6</v>
      </c>
      <c r="C41" s="1" t="n">
        <f aca="false">VLOOKUP(A41, Safety!A:B, 2, FALSE())</f>
        <v>86.456565230444</v>
      </c>
      <c r="D41" s="1" t="n">
        <f aca="false">VLOOKUP(A41, Health!A:B, 2, FALSE())</f>
        <v>58</v>
      </c>
      <c r="E41" s="1" t="n">
        <f aca="false">VLOOKUP(A41, Political!A:H, 8, FALSE())</f>
        <v>70.2316666666667</v>
      </c>
      <c r="F41" s="1" t="n">
        <f aca="false">VLOOKUP(A41, Pollution!A:B, 2, FALSE())</f>
        <v>16.52</v>
      </c>
      <c r="G41" s="1" t="n">
        <f aca="false">VLOOKUP(A41, Climate!A:B, 2, FALSE())</f>
        <v>2247</v>
      </c>
      <c r="H41" s="1" t="n">
        <f aca="false">VLOOKUP(A41, English!A:C, 3, FALSE())</f>
        <v>600</v>
      </c>
      <c r="I41" s="1" t="n">
        <f aca="false">VLOOKUP(A41, Openness!A:C, 2, FALSE())</f>
        <v>37</v>
      </c>
      <c r="J41" s="1" t="n">
        <f aca="false">VLOOKUP(A41, Scenic!A:B, 2, FALSE())</f>
        <v>43</v>
      </c>
      <c r="K41" s="1" t="n">
        <f aca="false">VLOOKUP(A41, Disaster!A:H, 4, FALSE())</f>
        <v>1.67</v>
      </c>
      <c r="L41" s="1" t="n">
        <f aca="false">VLOOKUP(A41, LifeExp60!A:B, 2, FALSE())</f>
        <v>24.765</v>
      </c>
    </row>
    <row r="42" customFormat="false" ht="15.75" hidden="false" customHeight="true" outlineLevel="0" collapsed="false">
      <c r="A42" s="1" t="s">
        <v>52</v>
      </c>
      <c r="B42" s="1" t="n">
        <f aca="false">VLOOKUP(A42, Sheet1!A:B, 2, FALSE())</f>
        <v>35.2</v>
      </c>
      <c r="C42" s="1" t="n">
        <f aca="false">VLOOKUP(A42, Safety!A:B, 2, FALSE())</f>
        <v>88.2474523399321</v>
      </c>
      <c r="D42" s="1" t="n">
        <f aca="false">VLOOKUP(A42, Health!A:B, 2, FALSE())</f>
        <v>65</v>
      </c>
      <c r="E42" s="1" t="n">
        <f aca="false">VLOOKUP(A42, Political!A:H, 8, FALSE())</f>
        <v>66.0233333333333</v>
      </c>
      <c r="F42" s="1" t="n">
        <f aca="false">VLOOKUP(A42, Pollution!A:B, 2, FALSE())</f>
        <v>15.78</v>
      </c>
      <c r="G42" s="1" t="n">
        <f aca="false">VLOOKUP(A42, Climate!A:B, 2, FALSE())</f>
        <v>2524</v>
      </c>
      <c r="H42" s="1" t="n">
        <f aca="false">VLOOKUP(A42, English!A:C, 3, FALSE())</f>
        <v>617</v>
      </c>
      <c r="I42" s="1" t="e">
        <f aca="false">VLOOKUP(A42, Openness!A:C, 2, FALSE())</f>
        <v>#N/A</v>
      </c>
      <c r="J42" s="1" t="n">
        <f aca="false">VLOOKUP(A42, Scenic!A:B, 2, FALSE())</f>
        <v>28</v>
      </c>
      <c r="K42" s="1" t="n">
        <f aca="false">VLOOKUP(A42, Disaster!A:H, 4, FALSE())</f>
        <v>1.55</v>
      </c>
      <c r="L42" s="1" t="n">
        <f aca="false">VLOOKUP(A42, LifeExp60!A:B, 2, FALSE())</f>
        <v>23.824</v>
      </c>
    </row>
    <row r="43" customFormat="false" ht="15.75" hidden="false" customHeight="true" outlineLevel="0" collapsed="false">
      <c r="A43" s="1" t="s">
        <v>53</v>
      </c>
      <c r="B43" s="1" t="n">
        <f aca="false">VLOOKUP(A43, Sheet1!A:B, 2, FALSE())</f>
        <v>27</v>
      </c>
      <c r="C43" s="1" t="n">
        <f aca="false">VLOOKUP(A43, Safety!A:B, 2, FALSE())</f>
        <v>12.5980643827835</v>
      </c>
      <c r="D43" s="1" t="n">
        <f aca="false">VLOOKUP(A43, Health!A:B, 2, FALSE())</f>
        <v>63.9</v>
      </c>
      <c r="E43" s="1" t="n">
        <f aca="false">VLOOKUP(A43, Political!A:H, 8, FALSE())</f>
        <v>56.6633333333333</v>
      </c>
      <c r="F43" s="1" t="n">
        <f aca="false">VLOOKUP(A43, Pollution!A:B, 2, FALSE())</f>
        <v>27.72</v>
      </c>
      <c r="G43" s="1" t="n">
        <f aca="false">VLOOKUP(A43, Climate!A:B, 2, FALSE())</f>
        <v>3533</v>
      </c>
      <c r="H43" s="1" t="n">
        <f aca="false">VLOOKUP(A43, English!A:C, 3, FALSE())</f>
        <v>602</v>
      </c>
      <c r="I43" s="1" t="n">
        <f aca="false">VLOOKUP(A43, Openness!A:C, 2, FALSE())</f>
        <v>23</v>
      </c>
      <c r="J43" s="1" t="n">
        <f aca="false">VLOOKUP(A43, Scenic!A:B, 2, FALSE())</f>
        <v>29</v>
      </c>
      <c r="K43" s="1" t="n">
        <f aca="false">VLOOKUP(A43, Disaster!A:H, 4, FALSE())</f>
        <v>6.98</v>
      </c>
      <c r="L43" s="1" t="n">
        <f aca="false">VLOOKUP(A43, LifeExp60!A:B, 2, FALSE())</f>
        <v>20.315</v>
      </c>
    </row>
    <row r="44" customFormat="false" ht="15.75" hidden="false" customHeight="true" outlineLevel="0" collapsed="false">
      <c r="A44" s="1" t="s">
        <v>54</v>
      </c>
      <c r="B44" s="1" t="n">
        <f aca="false">VLOOKUP(A44, Sheet1!A:B, 2, FALSE())</f>
        <v>37.1</v>
      </c>
      <c r="C44" s="1" t="n">
        <f aca="false">VLOOKUP(A44, Safety!A:B, 2, FALSE())</f>
        <v>87.5276463094343</v>
      </c>
      <c r="D44" s="1" t="n">
        <f aca="false">VLOOKUP(A44, Health!A:B, 2, FALSE())</f>
        <v>72</v>
      </c>
      <c r="E44" s="1" t="n">
        <f aca="false">VLOOKUP(A44, Political!A:H, 8, FALSE())</f>
        <v>72.8133333333333</v>
      </c>
      <c r="F44" s="1" t="n">
        <f aca="false">VLOOKUP(A44, Pollution!A:B, 2, FALSE())</f>
        <v>8.77</v>
      </c>
      <c r="G44" s="1" t="n">
        <f aca="false">VLOOKUP(A44, Climate!A:B, 2, FALSE())</f>
        <v>3176</v>
      </c>
      <c r="H44" s="1" t="n">
        <f aca="false">VLOOKUP(A44, English!A:C, 3, FALSE())</f>
        <v>612</v>
      </c>
      <c r="I44" s="1" t="n">
        <f aca="false">VLOOKUP(A44, Openness!A:C, 2, FALSE())</f>
        <v>15</v>
      </c>
      <c r="J44" s="1" t="n">
        <f aca="false">VLOOKUP(A44, Scenic!A:B, 2, FALSE())</f>
        <v>13</v>
      </c>
      <c r="K44" s="1" t="n">
        <f aca="false">VLOOKUP(A44, Disaster!A:H, 4, FALSE())</f>
        <v>3.12</v>
      </c>
      <c r="L44" s="1" t="n">
        <f aca="false">VLOOKUP(A44, LifeExp60!A:B, 2, FALSE())</f>
        <v>27.02</v>
      </c>
    </row>
    <row r="45" customFormat="false" ht="15.75" hidden="false" customHeight="true" outlineLevel="0" collapsed="false">
      <c r="A45" s="1" t="s">
        <v>55</v>
      </c>
      <c r="B45" s="1" t="n">
        <f aca="false">VLOOKUP(A45, Sheet1!A:B, 2, FALSE())</f>
        <v>33.6</v>
      </c>
      <c r="C45" s="1" t="n">
        <f aca="false">VLOOKUP(A45, Safety!A:B, 2, FALSE())</f>
        <v>87.4875685255885</v>
      </c>
      <c r="D45" s="1" t="n">
        <f aca="false">VLOOKUP(A45, Health!A:B, 2, FALSE())</f>
        <v>54.2</v>
      </c>
      <c r="E45" s="1" t="n">
        <f aca="false">VLOOKUP(A45, Political!A:H, 8, FALSE())</f>
        <v>60.645</v>
      </c>
      <c r="F45" s="1" t="n">
        <f aca="false">VLOOKUP(A45, Pollution!A:B, 2, FALSE())</f>
        <v>13.72</v>
      </c>
      <c r="G45" s="1" t="n">
        <f aca="false">VLOOKUP(A45, Climate!A:B, 2, FALSE())</f>
        <v>2457</v>
      </c>
      <c r="H45" s="1" t="n">
        <f aca="false">VLOOKUP(A45, English!A:C, 3, FALSE())</f>
        <v>590</v>
      </c>
      <c r="I45" s="1" t="n">
        <f aca="false">VLOOKUP(A45, Openness!A:C, 2, FALSE())</f>
        <v>44</v>
      </c>
      <c r="J45" s="1" t="n">
        <f aca="false">VLOOKUP(A45, Scenic!A:B, 2, FALSE())</f>
        <v>41</v>
      </c>
      <c r="K45" s="1" t="n">
        <f aca="false">VLOOKUP(A45, Disaster!A:H, 4, FALSE())</f>
        <v>0.11</v>
      </c>
      <c r="L45" s="1" t="n">
        <f aca="false">VLOOKUP(A45, LifeExp60!A:B, 2, FALSE())</f>
        <v>22.977</v>
      </c>
    </row>
    <row r="46" customFormat="false" ht="15.75" hidden="false" customHeight="true" outlineLevel="0" collapsed="false">
      <c r="A46" s="1" t="s">
        <v>56</v>
      </c>
      <c r="B46" s="1" t="n">
        <f aca="false">VLOOKUP(A46, Sheet1!A:B, 2, FALSE())</f>
        <v>33.5</v>
      </c>
      <c r="C46" s="1" t="n">
        <f aca="false">VLOOKUP(A46, Safety!A:B, 2, FALSE())</f>
        <v>82.6756094908711</v>
      </c>
      <c r="D46" s="1" t="n">
        <f aca="false">VLOOKUP(A46, Health!A:B, 2, FALSE())</f>
        <v>58.2</v>
      </c>
      <c r="E46" s="1" t="n">
        <f aca="false">VLOOKUP(A46, Political!A:H, 8, FALSE())</f>
        <v>65.3466666666667</v>
      </c>
      <c r="F46" s="1" t="n">
        <f aca="false">VLOOKUP(A46, Pollution!A:B, 2, FALSE())</f>
        <v>13.72</v>
      </c>
      <c r="G46" s="1" t="n">
        <f aca="false">VLOOKUP(A46, Climate!A:B, 2, FALSE())</f>
        <v>2385</v>
      </c>
      <c r="H46" s="1" t="n">
        <f aca="false">VLOOKUP(A46, English!A:C, 3, FALSE())</f>
        <v>606</v>
      </c>
      <c r="I46" s="1" t="e">
        <f aca="false">VLOOKUP(A46, Openness!A:C, 2, FALSE())</f>
        <v>#N/A</v>
      </c>
      <c r="J46" s="1" t="n">
        <f aca="false">VLOOKUP(A46, Scenic!A:B, 2, FALSE())</f>
        <v>64</v>
      </c>
      <c r="K46" s="1" t="n">
        <f aca="false">VLOOKUP(A46, Disaster!A:H, 4, FALSE())</f>
        <v>0.1</v>
      </c>
      <c r="L46" s="1" t="n">
        <f aca="false">VLOOKUP(A46, LifeExp60!A:B, 2, FALSE())</f>
        <v>24.035</v>
      </c>
    </row>
    <row r="47" customFormat="false" ht="15.75" hidden="false" customHeight="true" outlineLevel="0" collapsed="false">
      <c r="A47" s="1" t="s">
        <v>57</v>
      </c>
      <c r="B47" s="1" t="n">
        <f aca="false">VLOOKUP(A47, Sheet1!A:B, 2, FALSE())</f>
        <v>32.7</v>
      </c>
      <c r="C47" s="1" t="n">
        <f aca="false">VLOOKUP(A47, Safety!A:B, 2, FALSE())</f>
        <v>71.2087252507615</v>
      </c>
      <c r="D47" s="1" t="n">
        <f aca="false">VLOOKUP(A47, Health!A:B, 2, FALSE())</f>
        <v>63.7</v>
      </c>
      <c r="E47" s="1" t="n">
        <f aca="false">VLOOKUP(A47, Political!A:H, 8, FALSE())</f>
        <v>73.3883333333333</v>
      </c>
      <c r="F47" s="1" t="n">
        <f aca="false">VLOOKUP(A47, Pollution!A:B, 2, FALSE())</f>
        <v>13.01</v>
      </c>
      <c r="G47" s="1" t="n">
        <f aca="false">VLOOKUP(A47, Climate!A:B, 2, FALSE())</f>
        <v>2013</v>
      </c>
      <c r="H47" s="1" t="n">
        <f aca="false">VLOOKUP(A47, English!A:C, 3, FALSE())</f>
        <v>598</v>
      </c>
      <c r="I47" s="1" t="e">
        <f aca="false">VLOOKUP(A47, Openness!A:C, 2, FALSE())</f>
        <v>#N/A</v>
      </c>
      <c r="J47" s="1" t="n">
        <f aca="false">VLOOKUP(A47, Scenic!A:B, 2, FALSE())</f>
        <v>74</v>
      </c>
      <c r="K47" s="1" t="n">
        <f aca="false">VLOOKUP(A47, Disaster!A:H, 4, FALSE())</f>
        <v>0.69</v>
      </c>
      <c r="L47" s="1" t="n">
        <f aca="false">VLOOKUP(A47, LifeExp60!A:B, 2, FALSE())</f>
        <v>23.677</v>
      </c>
    </row>
    <row r="48" customFormat="false" ht="15.75" hidden="false" customHeight="true" outlineLevel="0" collapsed="false">
      <c r="A48" s="1" t="s">
        <v>58</v>
      </c>
      <c r="B48" s="1" t="n">
        <f aca="false">VLOOKUP(A48, Sheet1!A:B, 2, FALSE())</f>
        <v>27.6</v>
      </c>
      <c r="C48" s="1" t="n">
        <f aca="false">VLOOKUP(A48, Safety!A:B, 2, FALSE())</f>
        <v>83.0577349146764</v>
      </c>
      <c r="D48" s="1" t="n">
        <f aca="false">VLOOKUP(A48, Health!A:B, 2, FALSE())</f>
        <v>58.2</v>
      </c>
      <c r="E48" s="1" t="n">
        <f aca="false">VLOOKUP(A48, Political!A:H, 8, FALSE())</f>
        <v>58.15</v>
      </c>
      <c r="F48" s="1" t="n">
        <f aca="false">VLOOKUP(A48, Pollution!A:B, 2, FALSE())</f>
        <v>19.68</v>
      </c>
      <c r="G48" s="1" t="n">
        <f aca="false">VLOOKUP(A48, Climate!A:B, 2, FALSE())</f>
        <v>2505</v>
      </c>
      <c r="H48" s="1" t="n">
        <f aca="false">VLOOKUP(A48, English!A:C, 3, FALSE())</f>
        <v>594</v>
      </c>
      <c r="I48" s="1" t="e">
        <f aca="false">VLOOKUP(A48, Openness!A:C, 2, FALSE())</f>
        <v>#N/A</v>
      </c>
      <c r="J48" s="1" t="n">
        <f aca="false">VLOOKUP(A48, Scenic!A:B, 2, FALSE())</f>
        <v>54</v>
      </c>
      <c r="K48" s="1" t="n">
        <f aca="false">VLOOKUP(A48, Disaster!A:H, 4, FALSE())</f>
        <v>0.3</v>
      </c>
      <c r="L48" s="1" t="n">
        <f aca="false">VLOOKUP(A48, LifeExp60!A:B, 2, FALSE())</f>
        <v>22.422</v>
      </c>
    </row>
    <row r="49" customFormat="false" ht="15.75" hidden="false" customHeight="true" outlineLevel="0" collapsed="false">
      <c r="A49" s="1" t="s">
        <v>59</v>
      </c>
      <c r="B49" s="1" t="n">
        <f aca="false">VLOOKUP(A49, Sheet1!A:B, 2, FALSE())</f>
        <v>34.8</v>
      </c>
      <c r="C49" s="1" t="n">
        <f aca="false">VLOOKUP(A49, Safety!A:B, 2, FALSE())</f>
        <v>85.9766342643228</v>
      </c>
      <c r="D49" s="1" t="n">
        <f aca="false">VLOOKUP(A49, Health!A:B, 2, FALSE())</f>
        <v>58.6</v>
      </c>
      <c r="E49" s="1" t="n">
        <f aca="false">VLOOKUP(A49, Political!A:H, 8, FALSE())</f>
        <v>63.6716666666667</v>
      </c>
      <c r="F49" s="1" t="n">
        <f aca="false">VLOOKUP(A49, Pollution!A:B, 2, FALSE())</f>
        <v>14.12</v>
      </c>
      <c r="G49" s="1" t="n">
        <f aca="false">VLOOKUP(A49, Climate!A:B, 2, FALSE())</f>
        <v>2848</v>
      </c>
      <c r="H49" s="1" t="n">
        <f aca="false">VLOOKUP(A49, English!A:C, 3, FALSE())</f>
        <v>592</v>
      </c>
      <c r="I49" s="1" t="n">
        <f aca="false">VLOOKUP(A49, Openness!A:C, 2, FALSE())</f>
        <v>10</v>
      </c>
      <c r="J49" s="1" t="n">
        <f aca="false">VLOOKUP(A49, Scenic!A:B, 2, FALSE())</f>
        <v>1</v>
      </c>
      <c r="K49" s="1" t="n">
        <f aca="false">VLOOKUP(A49, Disaster!A:H, 4, FALSE())</f>
        <v>8.14</v>
      </c>
      <c r="L49" s="1" t="n">
        <f aca="false">VLOOKUP(A49, LifeExp60!A:B, 2, FALSE())</f>
        <v>26.011</v>
      </c>
    </row>
    <row r="50" customFormat="false" ht="15.75" hidden="false" customHeight="true" outlineLevel="0" collapsed="false">
      <c r="A50" s="1" t="s">
        <v>60</v>
      </c>
      <c r="B50" s="1" t="n">
        <f aca="false">VLOOKUP(A50, Sheet1!A:B, 2, FALSE())</f>
        <v>35.9</v>
      </c>
      <c r="C50" s="1" t="n">
        <f aca="false">VLOOKUP(A50, Safety!A:B, 2, FALSE())</f>
        <v>42.3873973565479</v>
      </c>
      <c r="D50" s="1" t="n">
        <f aca="false">VLOOKUP(A50, Health!A:B, 2, FALSE())</f>
        <v>69</v>
      </c>
      <c r="E50" s="1" t="n">
        <f aca="false">VLOOKUP(A50, Political!A:H, 8, FALSE())</f>
        <v>76.1566666666667</v>
      </c>
      <c r="F50" s="1" t="n">
        <f aca="false">VLOOKUP(A50, Pollution!A:B, 2, FALSE())</f>
        <v>10.85</v>
      </c>
      <c r="G50" s="1" t="e">
        <f aca="false">VLOOKUP(A50, Climate!A:B, 2, FALSE())</f>
        <v>#N/A</v>
      </c>
      <c r="H50" s="1" t="n">
        <f aca="false">VLOOKUP(A50, English!A:C, 3, FALSE())</f>
        <v>542</v>
      </c>
      <c r="I50" s="1" t="e">
        <f aca="false">VLOOKUP(A50, Openness!A:C, 2, FALSE())</f>
        <v>#N/A</v>
      </c>
      <c r="J50" s="1" t="n">
        <f aca="false">VLOOKUP(A50, Scenic!A:B, 2, FALSE())</f>
        <v>56</v>
      </c>
      <c r="K50" s="1" t="n">
        <f aca="false">VLOOKUP(A50, Disaster!A:H, 4, FALSE())</f>
        <v>1.57</v>
      </c>
      <c r="L50" s="1" t="n">
        <f aca="false">VLOOKUP(A50, LifeExp60!A:B, 2, FALSE())</f>
        <v>25.387</v>
      </c>
    </row>
    <row r="51" customFormat="false" ht="15.75" hidden="false" customHeight="true" outlineLevel="0" collapsed="false">
      <c r="A51" s="1" t="s">
        <v>61</v>
      </c>
      <c r="B51" s="1" t="n">
        <f aca="false">VLOOKUP(A51, Sheet1!A:B, 2, FALSE())</f>
        <v>21</v>
      </c>
      <c r="C51" s="1" t="n">
        <f aca="false">VLOOKUP(A51, Safety!A:B, 2, FALSE())</f>
        <v>90.6444851326578</v>
      </c>
      <c r="D51" s="1" t="n">
        <f aca="false">VLOOKUP(A51, Health!A:B, 2, FALSE())</f>
        <v>69.6</v>
      </c>
      <c r="E51" s="1" t="n">
        <f aca="false">VLOOKUP(A51, Political!A:H, 8, FALSE())</f>
        <v>51.9783333333333</v>
      </c>
      <c r="F51" s="1" t="n">
        <f aca="false">VLOOKUP(A51, Pollution!A:B, 2, FALSE())</f>
        <v>31.99</v>
      </c>
      <c r="G51" s="1" t="n">
        <f aca="false">VLOOKUP(A51, Climate!A:B, 2, FALSE())</f>
        <v>2148</v>
      </c>
      <c r="H51" s="1" t="n">
        <f aca="false">VLOOKUP(A51, English!A:C, 3, FALSE())</f>
        <v>464</v>
      </c>
      <c r="I51" s="1" t="n">
        <f aca="false">VLOOKUP(A51, Openness!A:C, 2, FALSE())</f>
        <v>19</v>
      </c>
      <c r="J51" s="1" t="n">
        <f aca="false">VLOOKUP(A51, Scenic!A:B, 2, FALSE())</f>
        <v>46</v>
      </c>
      <c r="K51" s="1" t="n">
        <f aca="false">VLOOKUP(A51, Disaster!A:H, 4, FALSE())</f>
        <v>71.06</v>
      </c>
      <c r="L51" s="1" t="n">
        <f aca="false">VLOOKUP(A51, LifeExp60!A:B, 2, FALSE())</f>
        <v>23.782</v>
      </c>
    </row>
    <row r="52" customFormat="false" ht="15.75" hidden="false" customHeight="true" outlineLevel="0" collapsed="false">
      <c r="A52" s="1" t="s">
        <v>62</v>
      </c>
      <c r="B52" s="1" t="n">
        <f aca="false">VLOOKUP(A52, Sheet1!A:B, 2, FALSE())</f>
        <v>27.4</v>
      </c>
      <c r="C52" s="1" t="n">
        <f aca="false">VLOOKUP(A52, Safety!A:B, 2, FALSE())</f>
        <v>66.8431689924879</v>
      </c>
      <c r="D52" s="1" t="n">
        <f aca="false">VLOOKUP(A52, Health!A:B, 2, FALSE())</f>
        <v>71.3</v>
      </c>
      <c r="E52" s="1" t="n">
        <f aca="false">VLOOKUP(A52, Political!A:H, 8, FALSE())</f>
        <v>45.9283333333333</v>
      </c>
      <c r="F52" s="1" t="n">
        <f aca="false">VLOOKUP(A52, Pollution!A:B, 2, FALSE())</f>
        <v>26.4</v>
      </c>
      <c r="G52" s="1" t="n">
        <f aca="false">VLOOKUP(A52, Climate!A:B, 2, FALSE())</f>
        <v>2593</v>
      </c>
      <c r="H52" s="1" t="n">
        <f aca="false">VLOOKUP(A52, English!A:C, 3, FALSE())</f>
        <v>488</v>
      </c>
      <c r="I52" s="1" t="n">
        <f aca="false">VLOOKUP(A52, Openness!A:C, 2, FALSE())</f>
        <v>40</v>
      </c>
      <c r="J52" s="1" t="n">
        <f aca="false">VLOOKUP(A52, Scenic!A:B, 2, FALSE())</f>
        <v>15</v>
      </c>
      <c r="K52" s="1" t="n">
        <f aca="false">VLOOKUP(A52, Disaster!A:H, 4, FALSE())</f>
        <v>8.86</v>
      </c>
      <c r="L52" s="1" t="n">
        <f aca="false">VLOOKUP(A52, LifeExp60!A:B, 2, FALSE())</f>
        <v>23.023</v>
      </c>
    </row>
    <row r="53" customFormat="false" ht="15.75" hidden="false" customHeight="true" outlineLevel="0" collapsed="false">
      <c r="A53" s="1" t="s">
        <v>63</v>
      </c>
      <c r="B53" s="1" t="n">
        <f aca="false">VLOOKUP(A53, Sheet1!A:B, 2, FALSE())</f>
        <v>40.5</v>
      </c>
      <c r="C53" s="1" t="n">
        <f aca="false">VLOOKUP(A53, Safety!A:B, 2, FALSE())</f>
        <v>32.5946496780442</v>
      </c>
      <c r="D53" s="1" t="n">
        <f aca="false">VLOOKUP(A53, Health!A:B, 2, FALSE())</f>
        <v>64.8</v>
      </c>
      <c r="E53" s="1" t="n">
        <f aca="false">VLOOKUP(A53, Political!A:H, 8, FALSE())</f>
        <v>69.9866666666667</v>
      </c>
      <c r="F53" s="1" t="n">
        <f aca="false">VLOOKUP(A53, Pollution!A:B, 2, FALSE())</f>
        <v>17.7</v>
      </c>
      <c r="G53" s="1" t="n">
        <f aca="false">VLOOKUP(A53, Climate!A:B, 2, FALSE())</f>
        <v>3134</v>
      </c>
      <c r="H53" s="1" t="n">
        <f aca="false">VLOOKUP(A53, English!A:C, 3, FALSE())</f>
        <v>516</v>
      </c>
      <c r="I53" s="1" t="n">
        <f aca="false">VLOOKUP(A53, Openness!A:C, 2, FALSE())</f>
        <v>1</v>
      </c>
      <c r="J53" s="1" t="n">
        <f aca="false">VLOOKUP(A53, Scenic!A:B, 2, FALSE())</f>
        <v>24</v>
      </c>
      <c r="K53" s="1" t="n">
        <f aca="false">VLOOKUP(A53, Disaster!A:H, 4, FALSE())</f>
        <v>10.59</v>
      </c>
      <c r="L53" s="1" t="n">
        <f aca="false">VLOOKUP(A53, LifeExp60!A:B, 2, FALSE())</f>
        <v>26.443</v>
      </c>
    </row>
    <row r="54" customFormat="false" ht="15.75" hidden="false" customHeight="true" outlineLevel="0" collapsed="false">
      <c r="A54" s="1" t="s">
        <v>64</v>
      </c>
      <c r="B54" s="1" t="n">
        <f aca="false">VLOOKUP(A54, Sheet1!A:B, 2, FALSE())</f>
        <v>30.4</v>
      </c>
      <c r="C54" s="1" t="n">
        <f aca="false">VLOOKUP(A54, Safety!A:B, 2, FALSE())</f>
        <v>86.6230786352221</v>
      </c>
      <c r="D54" s="1" t="n">
        <f aca="false">VLOOKUP(A54, Health!A:B, 2, FALSE())</f>
        <v>48.7</v>
      </c>
      <c r="E54" s="1" t="n">
        <f aca="false">VLOOKUP(A54, Political!A:H, 8, FALSE())</f>
        <v>61.8683333333333</v>
      </c>
      <c r="F54" s="1" t="n">
        <f aca="false">VLOOKUP(A54, Pollution!A:B, 2, FALSE())</f>
        <v>18.45</v>
      </c>
      <c r="G54" s="1" t="n">
        <f aca="false">VLOOKUP(A54, Climate!A:B, 2, FALSE())</f>
        <v>2507</v>
      </c>
      <c r="H54" s="1" t="e">
        <f aca="false">VLOOKUP(A54, English!A:C, 3, FALSE())</f>
        <v>#N/A</v>
      </c>
      <c r="I54" s="1" t="e">
        <f aca="false">VLOOKUP(A54, Openness!A:C, 2, FALSE())</f>
        <v>#N/A</v>
      </c>
      <c r="J54" s="1" t="e">
        <f aca="false">VLOOKUP(A54, Scenic!A:B, 2, FALSE())</f>
        <v>#N/A</v>
      </c>
      <c r="K54" s="1" t="n">
        <f aca="false">VLOOKUP(A54, Disaster!A:H, 4, FALSE())</f>
        <v>0.83</v>
      </c>
      <c r="L54" s="1" t="n">
        <f aca="false">VLOOKUP(A54, LifeExp60!A:B, 2, FALSE())</f>
        <v>23.062</v>
      </c>
    </row>
    <row r="55" customFormat="false" ht="15.75" hidden="false" customHeight="true" outlineLevel="0" collapsed="false">
      <c r="A55" s="1" t="s">
        <v>65</v>
      </c>
      <c r="B55" s="1" t="n">
        <f aca="false">VLOOKUP(A55, Sheet1!A:B, 2, FALSE())</f>
        <v>26.4</v>
      </c>
      <c r="C55" s="1" t="n">
        <f aca="false">VLOOKUP(A55, Safety!A:B, 2, FALSE())</f>
        <v>82.7189609881123</v>
      </c>
      <c r="D55" s="1" t="n">
        <f aca="false">VLOOKUP(A55, Health!A:B, 2, FALSE())</f>
        <v>56.4</v>
      </c>
      <c r="E55" s="1" t="n">
        <f aca="false">VLOOKUP(A55, Political!A:H, 8, FALSE())</f>
        <v>61.1033333333333</v>
      </c>
      <c r="F55" s="1" t="n">
        <f aca="false">VLOOKUP(A55, Pollution!A:B, 2, FALSE())</f>
        <v>16.01</v>
      </c>
      <c r="G55" s="1" t="n">
        <f aca="false">VLOOKUP(A55, Climate!A:B, 2, FALSE())</f>
        <v>2392</v>
      </c>
      <c r="H55" s="1" t="n">
        <f aca="false">VLOOKUP(A55, English!A:C, 3, FALSE())</f>
        <v>605</v>
      </c>
      <c r="I55" s="1" t="e">
        <f aca="false">VLOOKUP(A55, Openness!A:C, 2, FALSE())</f>
        <v>#N/A</v>
      </c>
      <c r="J55" s="1" t="n">
        <f aca="false">VLOOKUP(A55, Scenic!A:B, 2, FALSE())</f>
        <v>42</v>
      </c>
      <c r="K55" s="1" t="n">
        <f aca="false">VLOOKUP(A55, Disaster!A:H, 4, FALSE())</f>
        <v>0.66</v>
      </c>
      <c r="L55" s="1" t="n">
        <f aca="false">VLOOKUP(A55, LifeExp60!A:B, 2, FALSE())</f>
        <v>22.579</v>
      </c>
    </row>
    <row r="56" customFormat="false" ht="15.75" hidden="false" customHeight="true" outlineLevel="0" collapsed="false">
      <c r="A56" s="1" t="s">
        <v>66</v>
      </c>
      <c r="B56" s="1" t="n">
        <f aca="false">VLOOKUP(A56, Sheet1!A:B, 2, FALSE())</f>
        <v>27.1</v>
      </c>
      <c r="C56" s="1" t="n">
        <f aca="false">VLOOKUP(A56, Safety!A:B, 2, FALSE())</f>
        <v>49.9303253915769</v>
      </c>
      <c r="D56" s="1" t="n">
        <f aca="false">VLOOKUP(A56, Health!A:B, 2, FALSE())</f>
        <v>61.7</v>
      </c>
      <c r="E56" s="1" t="n">
        <f aca="false">VLOOKUP(A56, Political!A:H, 8, FALSE())</f>
        <v>37.2033333333333</v>
      </c>
      <c r="F56" s="1" t="n">
        <f aca="false">VLOOKUP(A56, Pollution!A:B, 2, FALSE())</f>
        <v>11.57</v>
      </c>
      <c r="G56" s="1" t="n">
        <f aca="false">VLOOKUP(A56, Climate!A:B, 2, FALSE())</f>
        <v>1918</v>
      </c>
      <c r="H56" s="1" t="n">
        <f aca="false">VLOOKUP(A56, English!A:C, 3, FALSE())</f>
        <v>521</v>
      </c>
      <c r="I56" s="1" t="e">
        <f aca="false">VLOOKUP(A56, Openness!A:C, 2, FALSE())</f>
        <v>#N/A</v>
      </c>
      <c r="J56" s="1" t="n">
        <f aca="false">VLOOKUP(A56, Scenic!A:B, 2, FALSE())</f>
        <v>66</v>
      </c>
      <c r="K56" s="1" t="n">
        <f aca="false">VLOOKUP(A56, Disaster!A:H, 4, FALSE())</f>
        <v>28.37</v>
      </c>
      <c r="L56" s="1" t="n">
        <f aca="false">VLOOKUP(A56, LifeExp60!A:B, 2, FALSE())</f>
        <v>22.947</v>
      </c>
    </row>
    <row r="57" customFormat="false" ht="15.75" hidden="false" customHeight="true" outlineLevel="0" collapsed="false">
      <c r="A57" s="1" t="s">
        <v>67</v>
      </c>
      <c r="B57" s="1" t="n">
        <f aca="false">VLOOKUP(A57, Sheet1!A:B, 2, FALSE())</f>
        <v>28.5</v>
      </c>
      <c r="C57" s="1" t="n">
        <f aca="false">VLOOKUP(A57, Safety!A:B, 2, FALSE())</f>
        <v>80.7052239747828</v>
      </c>
      <c r="D57" s="1" t="n">
        <f aca="false">VLOOKUP(A57, Health!A:B, 2, FALSE())</f>
        <v>52.1</v>
      </c>
      <c r="E57" s="1" t="n">
        <f aca="false">VLOOKUP(A57, Political!A:H, 8, FALSE())</f>
        <v>51.4666666666667</v>
      </c>
      <c r="F57" s="1" t="n">
        <f aca="false">VLOOKUP(A57, Pollution!A:B, 2, FALSE())</f>
        <v>19.34</v>
      </c>
      <c r="G57" s="1" t="n">
        <f aca="false">VLOOKUP(A57, Climate!A:B, 2, FALSE())</f>
        <v>2506</v>
      </c>
      <c r="H57" s="1" t="n">
        <f aca="false">VLOOKUP(A57, English!A:C, 3, FALSE())</f>
        <v>578</v>
      </c>
      <c r="I57" s="1" t="e">
        <f aca="false">VLOOKUP(A57, Openness!A:C, 2, FALSE())</f>
        <v>#N/A</v>
      </c>
      <c r="J57" s="1" t="n">
        <f aca="false">VLOOKUP(A57, Scenic!A:B, 2, FALSE())</f>
        <v>72</v>
      </c>
      <c r="K57" s="1" t="n">
        <f aca="false">VLOOKUP(A57, Disaster!A:H, 4, FALSE())</f>
        <v>0.17</v>
      </c>
      <c r="L57" s="1" t="n">
        <f aca="false">VLOOKUP(A57, LifeExp60!A:B, 2, FALSE())</f>
        <v>22.828</v>
      </c>
    </row>
    <row r="58" customFormat="false" ht="15.75" hidden="false" customHeight="true" outlineLevel="0" collapsed="false">
      <c r="A58" s="1" t="s">
        <v>68</v>
      </c>
      <c r="B58" s="1" t="n">
        <f aca="false">VLOOKUP(A58, Sheet1!A:B, 2, FALSE())</f>
        <v>22.4</v>
      </c>
      <c r="C58" s="1" t="n">
        <f aca="false">VLOOKUP(A58, Safety!A:B, 2, FALSE())</f>
        <v>87.3412113135371</v>
      </c>
      <c r="D58" s="1" t="n">
        <f aca="false">VLOOKUP(A58, Health!A:B, 2, FALSE())</f>
        <v>70.7</v>
      </c>
      <c r="E58" s="1" t="n">
        <f aca="false">VLOOKUP(A58, Political!A:H, 8, FALSE())</f>
        <v>65.2216666666667</v>
      </c>
      <c r="F58" s="1" t="n">
        <f aca="false">VLOOKUP(A58, Pollution!A:B, 2, FALSE())</f>
        <v>15.87</v>
      </c>
      <c r="G58" s="1" t="n">
        <f aca="false">VLOOKUP(A58, Climate!A:B, 2, FALSE())</f>
        <v>660</v>
      </c>
      <c r="H58" s="1" t="n">
        <f aca="false">VLOOKUP(A58, English!A:C, 3, FALSE())</f>
        <v>581</v>
      </c>
      <c r="I58" s="1" t="n">
        <f aca="false">VLOOKUP(A58, Openness!A:C, 2, FALSE())</f>
        <v>24</v>
      </c>
      <c r="J58" s="1" t="n">
        <f aca="false">VLOOKUP(A58, Scenic!A:B, 2, FALSE())</f>
        <v>32</v>
      </c>
      <c r="K58" s="1" t="n">
        <f aca="false">VLOOKUP(A58, Disaster!A:H, 4, FALSE())</f>
        <v>8.86</v>
      </c>
      <c r="L58" s="1" t="n">
        <f aca="false">VLOOKUP(A58, LifeExp60!A:B, 2, FALSE())</f>
        <v>22.759</v>
      </c>
    </row>
    <row r="59" customFormat="false" ht="15.75" hidden="false" customHeight="true" outlineLevel="0" collapsed="false">
      <c r="A59" s="1" t="s">
        <v>69</v>
      </c>
      <c r="B59" s="1" t="n">
        <f aca="false">VLOOKUP(A59, Sheet1!A:B, 2, FALSE())</f>
        <v>24.2</v>
      </c>
      <c r="C59" s="1" t="n">
        <f aca="false">VLOOKUP(A59, Safety!A:B, 2, FALSE())</f>
        <v>81.6175589505288</v>
      </c>
      <c r="D59" s="1" t="n">
        <f aca="false">VLOOKUP(A59, Health!A:B, 2, FALSE())</f>
        <v>54.9</v>
      </c>
      <c r="E59" s="1" t="n">
        <f aca="false">VLOOKUP(A59, Political!A:H, 8, FALSE())</f>
        <v>49.2016666666667</v>
      </c>
      <c r="F59" s="1" t="n">
        <f aca="false">VLOOKUP(A59, Pollution!A:B, 2, FALSE())</f>
        <v>26.09</v>
      </c>
      <c r="G59" s="1" t="n">
        <f aca="false">VLOOKUP(A59, Climate!A:B, 2, FALSE())</f>
        <v>2412</v>
      </c>
      <c r="H59" s="1" t="n">
        <f aca="false">VLOOKUP(A59, English!A:C, 3, FALSE())</f>
        <v>591</v>
      </c>
      <c r="I59" s="1" t="e">
        <f aca="false">VLOOKUP(A59, Openness!A:C, 2, FALSE())</f>
        <v>#N/A</v>
      </c>
      <c r="J59" s="1" t="e">
        <f aca="false">VLOOKUP(A59, Scenic!A:B, 2, FALSE())</f>
        <v>#N/A</v>
      </c>
      <c r="K59" s="1" t="n">
        <f aca="false">VLOOKUP(A59, Disaster!A:H, 4, FALSE())</f>
        <v>0.34</v>
      </c>
      <c r="L59" s="1" t="n">
        <f aca="false">VLOOKUP(A59, LifeExp60!A:B, 2, FALSE())</f>
        <v>23.512</v>
      </c>
    </row>
    <row r="60" customFormat="false" ht="15.75" hidden="false" customHeight="true" outlineLevel="0" collapsed="false">
      <c r="A60" s="1" t="s">
        <v>70</v>
      </c>
      <c r="B60" s="1" t="n">
        <f aca="false">VLOOKUP(A60, Sheet1!A:B, 2, FALSE())</f>
        <v>35.2</v>
      </c>
      <c r="C60" s="1" t="n">
        <f aca="false">VLOOKUP(A60, Safety!A:B, 2, FALSE())</f>
        <v>41.535660173583</v>
      </c>
      <c r="D60" s="1" t="n">
        <f aca="false">VLOOKUP(A60, Health!A:B, 2, FALSE())</f>
        <v>61.8</v>
      </c>
      <c r="E60" s="1" t="n">
        <f aca="false">VLOOKUP(A60, Political!A:H, 8, FALSE())</f>
        <v>56.1666666666667</v>
      </c>
      <c r="F60" s="1" t="n">
        <f aca="false">VLOOKUP(A60, Pollution!A:B, 2, FALSE())</f>
        <v>15.12</v>
      </c>
      <c r="G60" s="1" t="n">
        <f aca="false">VLOOKUP(A60, Climate!A:B, 2, FALSE())</f>
        <v>1115</v>
      </c>
      <c r="H60" s="1" t="n">
        <f aca="false">VLOOKUP(A60, English!A:C, 3, FALSE())</f>
        <v>491</v>
      </c>
      <c r="I60" s="1" t="n">
        <f aca="false">VLOOKUP(A60, Openness!A:C, 2, FALSE())</f>
        <v>7</v>
      </c>
      <c r="J60" s="1" t="n">
        <f aca="false">VLOOKUP(A60, Scenic!A:B, 2, FALSE())</f>
        <v>44</v>
      </c>
      <c r="K60" s="1" t="n">
        <f aca="false">VLOOKUP(A60, Disaster!A:H, 4, FALSE())</f>
        <v>16.27</v>
      </c>
      <c r="L60" s="1" t="n">
        <f aca="false">VLOOKUP(A60, LifeExp60!A:B, 2, FALSE())</f>
        <v>26.283</v>
      </c>
    </row>
    <row r="61" customFormat="false" ht="15.75" hidden="false" customHeight="true" outlineLevel="0" collapsed="false">
      <c r="A61" s="1" t="s">
        <v>71</v>
      </c>
      <c r="B61" s="1" t="n">
        <f aca="false">VLOOKUP(A61, Sheet1!A:B, 2, FALSE())</f>
        <v>30.2</v>
      </c>
      <c r="C61" s="1" t="n">
        <f aca="false">VLOOKUP(A61, Safety!A:B, 2, FALSE())</f>
        <v>60.8235561189264</v>
      </c>
      <c r="D61" s="1" t="n">
        <f aca="false">VLOOKUP(A61, Health!A:B, 2, FALSE())</f>
        <v>67.8</v>
      </c>
      <c r="E61" s="1" t="n">
        <f aca="false">VLOOKUP(A61, Political!A:H, 8, FALSE())</f>
        <v>57.245</v>
      </c>
      <c r="F61" s="1" t="n">
        <f aca="false">VLOOKUP(A61, Pollution!A:B, 2, FALSE())</f>
        <v>14.35</v>
      </c>
      <c r="G61" s="1" t="n">
        <f aca="false">VLOOKUP(A61, Climate!A:B, 2, FALSE())</f>
        <v>3231</v>
      </c>
      <c r="H61" s="1" t="n">
        <f aca="false">VLOOKUP(A61, English!A:C, 3, FALSE())</f>
        <v>575</v>
      </c>
      <c r="I61" s="1" t="e">
        <f aca="false">VLOOKUP(A61, Openness!A:C, 2, FALSE())</f>
        <v>#N/A</v>
      </c>
      <c r="J61" s="1" t="n">
        <f aca="false">VLOOKUP(A61, Scenic!A:B, 2, FALSE())</f>
        <v>26</v>
      </c>
      <c r="K61" s="1" t="n">
        <f aca="false">VLOOKUP(A61, Disaster!A:H, 4, FALSE())</f>
        <v>11.29</v>
      </c>
      <c r="L61" s="1" t="n">
        <f aca="false">VLOOKUP(A61, LifeExp60!A:B, 2, FALSE())</f>
        <v>23.827</v>
      </c>
    </row>
    <row r="62" customFormat="false" ht="15.75" hidden="false" customHeight="true" outlineLevel="0" collapsed="false">
      <c r="A62" s="1" t="s">
        <v>72</v>
      </c>
      <c r="B62" s="1" t="n">
        <f aca="false">VLOOKUP(A62, Sheet1!A:B, 2, FALSE())</f>
        <v>25.9</v>
      </c>
      <c r="C62" s="1" t="n">
        <f aca="false">VLOOKUP(A62, Safety!A:B, 2, FALSE())</f>
        <v>72.738182652064</v>
      </c>
      <c r="D62" s="1" t="e">
        <f aca="false">VLOOKUP(A62, Health!A:B, 2, FALSE())</f>
        <v>#N/A</v>
      </c>
      <c r="E62" s="1" t="n">
        <f aca="false">VLOOKUP(A62, Political!A:H, 8, FALSE())</f>
        <v>69.6633333333333</v>
      </c>
      <c r="F62" s="1" t="n">
        <f aca="false">VLOOKUP(A62, Pollution!A:B, 2, FALSE())</f>
        <v>14.06</v>
      </c>
      <c r="G62" s="1" t="e">
        <f aca="false">VLOOKUP(A62, Climate!A:B, 2, FALSE())</f>
        <v>#N/A</v>
      </c>
      <c r="H62" s="1" t="e">
        <f aca="false">VLOOKUP(A62, English!A:C, 3, FALSE())</f>
        <v>#N/A</v>
      </c>
      <c r="I62" s="1" t="e">
        <f aca="false">VLOOKUP(A62, Openness!A:C, 2, FALSE())</f>
        <v>#N/A</v>
      </c>
      <c r="J62" s="1" t="e">
        <f aca="false">VLOOKUP(A62, Scenic!A:B, 2, FALSE())</f>
        <v>#N/A</v>
      </c>
      <c r="K62" s="1" t="n">
        <f aca="false">VLOOKUP(A62, Disaster!A:H, 4, FALSE())</f>
        <v>0.48</v>
      </c>
      <c r="L62" s="1" t="n">
        <f aca="false">VLOOKUP(A62, LifeExp60!A:B, 2, FALSE())</f>
        <v>22.691</v>
      </c>
    </row>
    <row r="63" customFormat="false" ht="15.75" hidden="false" customHeight="true" outlineLevel="0" collapsed="false">
      <c r="A63" s="1" t="s">
        <v>73</v>
      </c>
      <c r="B63" s="1" t="n">
        <f aca="false">VLOOKUP(A63, Sheet1!A:B, 2, FALSE())</f>
        <v>31.9</v>
      </c>
      <c r="C63" s="1" t="n">
        <f aca="false">VLOOKUP(A63, Safety!A:B, 2, FALSE())</f>
        <v>25.1954772029043</v>
      </c>
      <c r="D63" s="1" t="n">
        <f aca="false">VLOOKUP(A63, Health!A:B, 2, FALSE())</f>
        <v>72.3</v>
      </c>
      <c r="E63" s="1" t="n">
        <f aca="false">VLOOKUP(A63, Political!A:H, 8, FALSE())</f>
        <v>46.005</v>
      </c>
      <c r="F63" s="1" t="n">
        <f aca="false">VLOOKUP(A63, Pollution!A:B, 2, FALSE())</f>
        <v>16.61</v>
      </c>
      <c r="G63" s="1" t="n">
        <f aca="false">VLOOKUP(A63, Climate!A:B, 2, FALSE())</f>
        <v>3462</v>
      </c>
      <c r="H63" s="1" t="n">
        <f aca="false">VLOOKUP(A63, English!A:C, 3, FALSE())</f>
        <v>440</v>
      </c>
      <c r="I63" s="1" t="n">
        <f aca="false">VLOOKUP(A63, Openness!A:C, 2, FALSE())</f>
        <v>2</v>
      </c>
      <c r="J63" s="1" t="n">
        <f aca="false">VLOOKUP(A63, Scenic!A:B, 2, FALSE())</f>
        <v>19</v>
      </c>
      <c r="K63" s="1" t="n">
        <f aca="false">VLOOKUP(A63, Disaster!A:H, 4, FALSE())</f>
        <v>50.69</v>
      </c>
      <c r="L63" s="1" t="n">
        <f aca="false">VLOOKUP(A63, LifeExp60!A:B, 2, FALSE())</f>
        <v>22.26</v>
      </c>
    </row>
    <row r="64" customFormat="false" ht="15.75" hidden="false" customHeight="true" outlineLevel="0" collapsed="false">
      <c r="A64" s="1" t="s">
        <v>74</v>
      </c>
      <c r="B64" s="1" t="n">
        <f aca="false">VLOOKUP(A64, Sheet1!A:B, 2, FALSE())</f>
        <v>25.3</v>
      </c>
      <c r="C64" s="1" t="n">
        <f aca="false">VLOOKUP(A64, Safety!A:B, 2, FALSE())</f>
        <v>70.9081794184181</v>
      </c>
      <c r="D64" s="1" t="n">
        <f aca="false">VLOOKUP(A64, Health!A:B, 2, FALSE())</f>
        <v>52.1</v>
      </c>
      <c r="E64" s="1" t="n">
        <f aca="false">VLOOKUP(A64, Political!A:H, 8, FALSE())</f>
        <v>56.09</v>
      </c>
      <c r="F64" s="1" t="n">
        <f aca="false">VLOOKUP(A64, Pollution!A:B, 2, FALSE())</f>
        <v>14.95</v>
      </c>
      <c r="G64" s="1" t="n">
        <f aca="false">VLOOKUP(A64, Climate!A:B, 2, FALSE())</f>
        <v>2369</v>
      </c>
      <c r="H64" s="1" t="n">
        <f aca="false">VLOOKUP(A64, English!A:C, 3, FALSE())</f>
        <v>531</v>
      </c>
      <c r="I64" s="1" t="e">
        <f aca="false">VLOOKUP(A64, Openness!A:C, 2, FALSE())</f>
        <v>#N/A</v>
      </c>
      <c r="J64" s="1" t="e">
        <f aca="false">VLOOKUP(A64, Scenic!A:B, 2, FALSE())</f>
        <v>#N/A</v>
      </c>
      <c r="K64" s="1" t="n">
        <f aca="false">VLOOKUP(A64, Disaster!A:H, 4, FALSE())</f>
        <v>0.09</v>
      </c>
      <c r="L64" s="1" t="n">
        <f aca="false">VLOOKUP(A64, LifeExp60!A:B, 2, FALSE())</f>
        <v>20.045</v>
      </c>
    </row>
    <row r="65" customFormat="false" ht="15.75" hidden="false" customHeight="true" outlineLevel="0" collapsed="false">
      <c r="A65" s="1" t="s">
        <v>75</v>
      </c>
      <c r="B65" s="1" t="n">
        <f aca="false">VLOOKUP(A65, Sheet1!A:B, 2, FALSE())</f>
        <v>24.6</v>
      </c>
      <c r="C65" s="1" t="n">
        <f aca="false">VLOOKUP(A65, Safety!A:B, 2, FALSE())</f>
        <v>84.1974305522266</v>
      </c>
      <c r="D65" s="1" t="n">
        <f aca="false">VLOOKUP(A65, Health!A:B, 2, FALSE())</f>
        <v>65.6</v>
      </c>
      <c r="E65" s="1" t="n">
        <f aca="false">VLOOKUP(A65, Political!A:H, 8, FALSE())</f>
        <v>55.9783333333333</v>
      </c>
      <c r="F65" s="1" t="n">
        <f aca="false">VLOOKUP(A65, Pollution!A:B, 2, FALSE())</f>
        <v>32.63</v>
      </c>
      <c r="G65" s="1" t="n">
        <f aca="false">VLOOKUP(A65, Climate!A:B, 2, FALSE())</f>
        <v>2962</v>
      </c>
      <c r="H65" s="1" t="n">
        <f aca="false">VLOOKUP(A65, English!A:C, 3, FALSE())</f>
        <v>425</v>
      </c>
      <c r="I65" s="1" t="e">
        <f aca="false">VLOOKUP(A65, Openness!A:C, 2, FALSE())</f>
        <v>#N/A</v>
      </c>
      <c r="J65" s="1" t="n">
        <f aca="false">VLOOKUP(A65, Scenic!A:B, 2, FALSE())</f>
        <v>63</v>
      </c>
      <c r="K65" s="1" t="n">
        <f aca="false">VLOOKUP(A65, Disaster!A:H, 4, FALSE())</f>
        <v>0.78</v>
      </c>
      <c r="L65" s="1" t="n">
        <f aca="false">VLOOKUP(A65, LifeExp60!A:B, 2, FALSE())</f>
        <v>23.417</v>
      </c>
    </row>
    <row r="66" customFormat="false" ht="15.75" hidden="false" customHeight="true" outlineLevel="0" collapsed="false">
      <c r="A66" s="1" t="s">
        <v>76</v>
      </c>
      <c r="B66" s="1" t="n">
        <f aca="false">VLOOKUP(A66, Sheet1!A:B, 2, FALSE())</f>
        <v>29.7</v>
      </c>
      <c r="C66" s="1" t="n">
        <f aca="false">VLOOKUP(A66, Safety!A:B, 2, FALSE())</f>
        <v>76.6934636818124</v>
      </c>
      <c r="D66" s="1" t="n">
        <f aca="false">VLOOKUP(A66, Health!A:B, 2, FALSE())</f>
        <v>47.9</v>
      </c>
      <c r="E66" s="1" t="n">
        <f aca="false">VLOOKUP(A66, Political!A:H, 8, FALSE())</f>
        <v>58.305</v>
      </c>
      <c r="F66" s="1" t="n">
        <f aca="false">VLOOKUP(A66, Pollution!A:B, 2, FALSE())</f>
        <v>15.51</v>
      </c>
      <c r="G66" s="1" t="n">
        <f aca="false">VLOOKUP(A66, Climate!A:B, 2, FALSE())</f>
        <v>2714</v>
      </c>
      <c r="H66" s="1" t="n">
        <f aca="false">VLOOKUP(A66, English!A:C, 3, FALSE())</f>
        <v>532</v>
      </c>
      <c r="I66" s="1" t="e">
        <f aca="false">VLOOKUP(A66, Openness!A:C, 2, FALSE())</f>
        <v>#N/A</v>
      </c>
      <c r="J66" s="1" t="e">
        <f aca="false">VLOOKUP(A66, Scenic!A:B, 2, FALSE())</f>
        <v>#N/A</v>
      </c>
      <c r="K66" s="1" t="n">
        <f aca="false">VLOOKUP(A66, Disaster!A:H, 4, FALSE())</f>
        <v>2.28</v>
      </c>
      <c r="L66" s="1" t="n">
        <f aca="false">VLOOKUP(A66, LifeExp60!A:B, 2, FALSE())</f>
        <v>24.079</v>
      </c>
    </row>
    <row r="67" customFormat="false" ht="15.75" hidden="false" customHeight="true" outlineLevel="0" collapsed="false">
      <c r="A67" s="1" t="s">
        <v>77</v>
      </c>
      <c r="B67" s="1" t="n">
        <f aca="false">VLOOKUP(A67, Sheet1!A:B, 2, FALSE())</f>
        <v>29.1</v>
      </c>
      <c r="C67" s="1" t="n">
        <f aca="false">VLOOKUP(A67, Safety!A:B, 2, FALSE())</f>
        <v>73.1924781643133</v>
      </c>
      <c r="D67" s="1" t="n">
        <f aca="false">VLOOKUP(A67, Health!A:B, 2, FALSE())</f>
        <v>60</v>
      </c>
      <c r="E67" s="1" t="n">
        <f aca="false">VLOOKUP(A67, Political!A:H, 8, FALSE())</f>
        <v>54.88</v>
      </c>
      <c r="F67" s="1" t="n">
        <f aca="false">VLOOKUP(A67, Pollution!A:B, 2, FALSE())</f>
        <v>28.55</v>
      </c>
      <c r="G67" s="1" t="n">
        <f aca="false">VLOOKUP(A67, Climate!A:B, 2, FALSE())</f>
        <v>2311</v>
      </c>
      <c r="H67" s="1" t="n">
        <f aca="false">VLOOKUP(A67, English!A:C, 3, FALSE())</f>
        <v>515</v>
      </c>
      <c r="I67" s="1" t="e">
        <f aca="false">VLOOKUP(A67, Openness!A:C, 2, FALSE())</f>
        <v>#N/A</v>
      </c>
      <c r="J67" s="1" t="e">
        <f aca="false">VLOOKUP(A67, Scenic!A:B, 2, FALSE())</f>
        <v>#N/A</v>
      </c>
      <c r="K67" s="1" t="n">
        <f aca="false">VLOOKUP(A67, Disaster!A:H, 4, FALSE())</f>
        <v>0.23</v>
      </c>
      <c r="L67" s="1" t="n">
        <f aca="false">VLOOKUP(A67, LifeExp60!A:B, 2, FALSE())</f>
        <v>22.244</v>
      </c>
    </row>
    <row r="68" customFormat="false" ht="15.75" hidden="false" customHeight="true" outlineLevel="0" collapsed="false">
      <c r="A68" s="1" t="s">
        <v>78</v>
      </c>
      <c r="B68" s="1" t="n">
        <f aca="false">VLOOKUP(A68, Sheet1!A:B, 2, FALSE())</f>
        <v>22</v>
      </c>
      <c r="C68" s="1" t="n">
        <f aca="false">VLOOKUP(A68, Safety!A:B, 2, FALSE())</f>
        <v>71.957344615705</v>
      </c>
      <c r="D68" s="1" t="n">
        <f aca="false">VLOOKUP(A68, Health!A:B, 2, FALSE())</f>
        <v>49.8</v>
      </c>
      <c r="E68" s="1" t="n">
        <f aca="false">VLOOKUP(A68, Political!A:H, 8, FALSE())</f>
        <v>38.8516666666667</v>
      </c>
      <c r="F68" s="1" t="n">
        <f aca="false">VLOOKUP(A68, Pollution!A:B, 2, FALSE())</f>
        <v>11.98</v>
      </c>
      <c r="G68" s="1" t="n">
        <f aca="false">VLOOKUP(A68, Climate!A:B, 2, FALSE())</f>
        <v>1968</v>
      </c>
      <c r="H68" s="1" t="n">
        <f aca="false">VLOOKUP(A68, English!A:C, 3, FALSE())</f>
        <v>533</v>
      </c>
      <c r="I68" s="1" t="e">
        <f aca="false">VLOOKUP(A68, Openness!A:C, 2, FALSE())</f>
        <v>#N/A</v>
      </c>
      <c r="J68" s="1" t="n">
        <f aca="false">VLOOKUP(A68, Scenic!A:B, 2, FALSE())</f>
        <v>82</v>
      </c>
      <c r="K68" s="1" t="n">
        <f aca="false">VLOOKUP(A68, Disaster!A:H, 4, FALSE())</f>
        <v>0.05</v>
      </c>
      <c r="L68" s="1" t="n">
        <f aca="false">VLOOKUP(A68, LifeExp60!A:B, 2, FALSE())</f>
        <v>22.215</v>
      </c>
    </row>
    <row r="69" customFormat="false" ht="15.75" hidden="false" customHeight="true" outlineLevel="0" collapsed="false">
      <c r="A69" s="1" t="s">
        <v>79</v>
      </c>
      <c r="B69" s="1" t="n">
        <f aca="false">VLOOKUP(A69, Sheet1!A:B, 2, FALSE())</f>
        <v>21.9</v>
      </c>
      <c r="C69" s="1" t="n">
        <f aca="false">VLOOKUP(A69, Safety!A:B, 2, FALSE())</f>
        <v>78.6619392061989</v>
      </c>
      <c r="D69" s="1" t="n">
        <f aca="false">VLOOKUP(A69, Health!A:B, 2, FALSE())</f>
        <v>55.7</v>
      </c>
      <c r="E69" s="1" t="n">
        <f aca="false">VLOOKUP(A69, Political!A:H, 8, FALSE())</f>
        <v>58.5816666666667</v>
      </c>
      <c r="F69" s="1" t="n">
        <f aca="false">VLOOKUP(A69, Pollution!A:B, 2, FALSE())</f>
        <v>21.81</v>
      </c>
      <c r="G69" s="1" t="n">
        <f aca="false">VLOOKUP(A69, Climate!A:B, 2, FALSE())</f>
        <v>2553</v>
      </c>
      <c r="H69" s="1" t="n">
        <f aca="false">VLOOKUP(A69, English!A:C, 3, FALSE())</f>
        <v>595</v>
      </c>
      <c r="I69" s="1" t="e">
        <f aca="false">VLOOKUP(A69, Openness!A:C, 2, FALSE())</f>
        <v>#N/A</v>
      </c>
      <c r="J69" s="1" t="e">
        <f aca="false">VLOOKUP(A69, Scenic!A:B, 2, FALSE())</f>
        <v>#N/A</v>
      </c>
      <c r="K69" s="1" t="n">
        <f aca="false">VLOOKUP(A69, Disaster!A:H, 4, FALSE())</f>
        <v>0.1</v>
      </c>
      <c r="L69" s="1" t="n">
        <f aca="false">VLOOKUP(A69, LifeExp60!A:B, 2, FALSE())</f>
        <v>22.106</v>
      </c>
    </row>
    <row r="70" customFormat="false" ht="15.75" hidden="false" customHeight="true" outlineLevel="0" collapsed="false">
      <c r="A70" s="1" t="s">
        <v>80</v>
      </c>
      <c r="B70" s="1" t="n">
        <f aca="false">VLOOKUP(A70, Sheet1!A:B, 2, FALSE())</f>
        <v>22.7</v>
      </c>
      <c r="C70" s="1" t="n">
        <f aca="false">VLOOKUP(A70, Safety!A:B, 2, FALSE())</f>
        <v>70.8563091681203</v>
      </c>
      <c r="D70" s="1" t="n">
        <f aca="false">VLOOKUP(A70, Health!A:B, 2, FALSE())</f>
        <v>60.7</v>
      </c>
      <c r="E70" s="1" t="n">
        <f aca="false">VLOOKUP(A70, Political!A:H, 8, FALSE())</f>
        <v>51.1766666666667</v>
      </c>
      <c r="F70" s="1" t="n">
        <f aca="false">VLOOKUP(A70, Pollution!A:B, 2, FALSE())</f>
        <v>19.6</v>
      </c>
      <c r="G70" s="1" t="n">
        <f aca="false">VLOOKUP(A70, Climate!A:B, 2, FALSE())</f>
        <v>2138</v>
      </c>
      <c r="H70" s="1" t="n">
        <f aca="false">VLOOKUP(A70, English!A:C, 3, FALSE())</f>
        <v>417</v>
      </c>
      <c r="I70" s="1" t="e">
        <f aca="false">VLOOKUP(A70, Openness!A:C, 2, FALSE())</f>
        <v>#N/A</v>
      </c>
      <c r="J70" s="1" t="n">
        <f aca="false">VLOOKUP(A70, Scenic!A:B, 2, FALSE())</f>
        <v>75</v>
      </c>
      <c r="K70" s="1" t="n">
        <f aca="false">VLOOKUP(A70, Disaster!A:H, 4, FALSE())</f>
        <v>0.25</v>
      </c>
      <c r="L70" s="1" t="n">
        <f aca="false">VLOOKUP(A70, LifeExp60!A:B, 2, FALSE())</f>
        <v>22.241</v>
      </c>
    </row>
    <row r="71" customFormat="false" ht="15.75" hidden="false" customHeight="true" outlineLevel="0" collapsed="false">
      <c r="A71" s="1" t="s">
        <v>81</v>
      </c>
      <c r="B71" s="1" t="n">
        <f aca="false">VLOOKUP(A71, Sheet1!A:B, 2, FALSE())</f>
        <v>25.8</v>
      </c>
      <c r="C71" s="1" t="n">
        <f aca="false">VLOOKUP(A71, Safety!A:B, 2, FALSE())</f>
        <v>54.1322158448878</v>
      </c>
      <c r="D71" s="1" t="n">
        <f aca="false">VLOOKUP(A71, Health!A:B, 2, FALSE())</f>
        <v>63.7</v>
      </c>
      <c r="E71" s="1" t="n">
        <f aca="false">VLOOKUP(A71, Political!A:H, 8, FALSE())</f>
        <v>70.9166666666667</v>
      </c>
      <c r="F71" s="1" t="n">
        <f aca="false">VLOOKUP(A71, Pollution!A:B, 2, FALSE())</f>
        <v>23.1</v>
      </c>
      <c r="G71" s="1" t="n">
        <f aca="false">VLOOKUP(A71, Climate!A:B, 2, FALSE())</f>
        <v>3478</v>
      </c>
      <c r="H71" s="1" t="n">
        <f aca="false">VLOOKUP(A71, English!A:C, 3, FALSE())</f>
        <v>517</v>
      </c>
      <c r="I71" s="1" t="n">
        <f aca="false">VLOOKUP(A71, Openness!A:C, 2, FALSE())</f>
        <v>43</v>
      </c>
      <c r="J71" s="1" t="n">
        <f aca="false">VLOOKUP(A71, Scenic!A:B, 2, FALSE())</f>
        <v>31</v>
      </c>
      <c r="K71" s="1" t="n">
        <f aca="false">VLOOKUP(A71, Disaster!A:H, 4, FALSE())</f>
        <v>12.91</v>
      </c>
      <c r="L71" s="1" t="n">
        <f aca="false">VLOOKUP(A71, LifeExp60!A:B, 2, FALSE())</f>
        <v>25.931</v>
      </c>
    </row>
    <row r="72" customFormat="false" ht="15.75" hidden="false" customHeight="true" outlineLevel="0" collapsed="false">
      <c r="A72" s="1" t="s">
        <v>82</v>
      </c>
      <c r="B72" s="1" t="n">
        <f aca="false">VLOOKUP(A72, Sheet1!A:B, 2, FALSE())</f>
        <v>24.6</v>
      </c>
      <c r="C72" s="1" t="n">
        <f aca="false">VLOOKUP(A72, Safety!A:B, 2, FALSE())</f>
        <v>25.1475018330481</v>
      </c>
      <c r="D72" s="1" t="n">
        <f aca="false">VLOOKUP(A72, Health!A:B, 2, FALSE())</f>
        <v>68.9</v>
      </c>
      <c r="E72" s="1" t="n">
        <f aca="false">VLOOKUP(A72, Political!A:H, 8, FALSE())</f>
        <v>50.0066666666667</v>
      </c>
      <c r="F72" s="1" t="n">
        <f aca="false">VLOOKUP(A72, Pollution!A:B, 2, FALSE())</f>
        <v>18.36</v>
      </c>
      <c r="G72" s="1" t="n">
        <f aca="false">VLOOKUP(A72, Climate!A:B, 2, FALSE())</f>
        <v>3521</v>
      </c>
      <c r="H72" s="1" t="n">
        <f aca="false">VLOOKUP(A72, English!A:C, 3, FALSE())</f>
        <v>480</v>
      </c>
      <c r="I72" s="1" t="n">
        <f aca="false">VLOOKUP(A72, Openness!A:C, 2, FALSE())</f>
        <v>8</v>
      </c>
      <c r="J72" s="1" t="n">
        <f aca="false">VLOOKUP(A72, Scenic!A:B, 2, FALSE())</f>
        <v>39</v>
      </c>
      <c r="K72" s="1" t="n">
        <f aca="false">VLOOKUP(A72, Disaster!A:H, 4, FALSE())</f>
        <v>31.59</v>
      </c>
      <c r="L72" s="1" t="n">
        <f aca="false">VLOOKUP(A72, LifeExp60!A:B, 2, FALSE())</f>
        <v>24.07</v>
      </c>
    </row>
    <row r="73" customFormat="false" ht="15.75" hidden="false" customHeight="true" outlineLevel="0" collapsed="false">
      <c r="A73" s="1" t="s">
        <v>83</v>
      </c>
      <c r="B73" s="1" t="n">
        <f aca="false">VLOOKUP(A73, Sheet1!A:B, 2, FALSE())</f>
        <v>20.4</v>
      </c>
      <c r="C73" s="1" t="n">
        <f aca="false">VLOOKUP(A73, Safety!A:B, 2, FALSE())</f>
        <v>75.5535083034334</v>
      </c>
      <c r="D73" s="1" t="e">
        <f aca="false">VLOOKUP(A73, Health!A:B, 2, FALSE())</f>
        <v>#N/A</v>
      </c>
      <c r="E73" s="1" t="n">
        <f aca="false">VLOOKUP(A73, Political!A:H, 8, FALSE())</f>
        <v>54.46</v>
      </c>
      <c r="F73" s="1" t="e">
        <f aca="false">VLOOKUP(A73, Pollution!A:B, 2, FALSE())</f>
        <v>#N/A</v>
      </c>
      <c r="G73" s="1" t="n">
        <f aca="false">VLOOKUP(A73, Climate!A:B, 2, FALSE())</f>
        <v>2421</v>
      </c>
      <c r="H73" s="1" t="e">
        <f aca="false">VLOOKUP(A73, English!A:C, 3, FALSE())</f>
        <v>#N/A</v>
      </c>
      <c r="I73" s="1" t="e">
        <f aca="false">VLOOKUP(A73, Openness!A:C, 2, FALSE())</f>
        <v>#N/A</v>
      </c>
      <c r="J73" s="1" t="e">
        <f aca="false">VLOOKUP(A73, Scenic!A:B, 2, FALSE())</f>
        <v>#N/A</v>
      </c>
      <c r="K73" s="1" t="e">
        <f aca="false">VLOOKUP(A73, Disaster!A:H, 4, FALSE())</f>
        <v>#N/A</v>
      </c>
      <c r="L73" s="1" t="n">
        <f aca="false">VLOOKUP(A73, LifeExp60!A:B, 2, FALSE())</f>
        <v>22.652</v>
      </c>
    </row>
    <row r="74" customFormat="false" ht="15.75" hidden="false" customHeight="true" outlineLevel="0" collapsed="false">
      <c r="A74" s="1" t="s">
        <v>84</v>
      </c>
      <c r="B74" s="1" t="n">
        <f aca="false">VLOOKUP(A74, Sheet1!A:B, 2, FALSE())</f>
        <v>24.2</v>
      </c>
      <c r="C74" s="1" t="n">
        <f aca="false">VLOOKUP(A74, Safety!A:B, 2, FALSE())</f>
        <v>74.5205036586726</v>
      </c>
      <c r="D74" s="1" t="n">
        <f aca="false">VLOOKUP(A74, Health!A:B, 2, FALSE())</f>
        <v>56.5</v>
      </c>
      <c r="E74" s="1" t="n">
        <f aca="false">VLOOKUP(A74, Political!A:H, 8, FALSE())</f>
        <v>56.5416666666667</v>
      </c>
      <c r="F74" s="1" t="n">
        <f aca="false">VLOOKUP(A74, Pollution!A:B, 2, FALSE())</f>
        <v>18.57</v>
      </c>
      <c r="G74" s="1" t="n">
        <f aca="false">VLOOKUP(A74, Climate!A:B, 2, FALSE())</f>
        <v>2407</v>
      </c>
      <c r="H74" s="1" t="n">
        <f aca="false">VLOOKUP(A74, English!A:C, 3, FALSE())</f>
        <v>541</v>
      </c>
      <c r="I74" s="1" t="e">
        <f aca="false">VLOOKUP(A74, Openness!A:C, 2, FALSE())</f>
        <v>#N/A</v>
      </c>
      <c r="J74" s="1" t="e">
        <f aca="false">VLOOKUP(A74, Scenic!A:B, 2, FALSE())</f>
        <v>#N/A</v>
      </c>
      <c r="K74" s="1" t="n">
        <f aca="false">VLOOKUP(A74, Disaster!A:H, 4, FALSE())</f>
        <v>0.7</v>
      </c>
      <c r="L74" s="1" t="n">
        <f aca="false">VLOOKUP(A74, LifeExp60!A:B, 2, FALSE())</f>
        <v>22.283</v>
      </c>
    </row>
    <row r="75" customFormat="false" ht="15.75" hidden="false" customHeight="true" outlineLevel="0" collapsed="false">
      <c r="A75" s="1" t="s">
        <v>85</v>
      </c>
      <c r="B75" s="1" t="n">
        <f aca="false">VLOOKUP(A75, Sheet1!A:B, 2, FALSE())</f>
        <v>22.1</v>
      </c>
      <c r="C75" s="1" t="n">
        <f aca="false">VLOOKUP(A75, Safety!A:B, 2, FALSE())</f>
        <v>47.9720821430362</v>
      </c>
      <c r="D75" s="1" t="n">
        <f aca="false">VLOOKUP(A75, Health!A:B, 2, FALSE())</f>
        <v>57.1</v>
      </c>
      <c r="E75" s="1" t="n">
        <f aca="false">VLOOKUP(A75, Political!A:H, 8, FALSE())</f>
        <v>50.1966666666667</v>
      </c>
      <c r="F75" s="1" t="n">
        <f aca="false">VLOOKUP(A75, Pollution!A:B, 2, FALSE())</f>
        <v>31.09</v>
      </c>
      <c r="G75" s="1" t="n">
        <f aca="false">VLOOKUP(A75, Climate!A:B, 2, FALSE())</f>
        <v>4029</v>
      </c>
      <c r="H75" s="1" t="n">
        <f aca="false">VLOOKUP(A75, English!A:C, 3, FALSE())</f>
        <v>519</v>
      </c>
      <c r="I75" s="1" t="e">
        <f aca="false">VLOOKUP(A75, Openness!A:C, 2, FALSE())</f>
        <v>#N/A</v>
      </c>
      <c r="J75" s="1" t="n">
        <f aca="false">VLOOKUP(A75, Scenic!A:B, 2, FALSE())</f>
        <v>22</v>
      </c>
      <c r="K75" s="1" t="n">
        <f aca="false">VLOOKUP(A75, Disaster!A:H, 4, FALSE())</f>
        <v>14.89</v>
      </c>
      <c r="L75" s="1" t="n">
        <f aca="false">VLOOKUP(A75, LifeExp60!A:B, 2, FALSE())</f>
        <v>24.692</v>
      </c>
    </row>
    <row r="76" customFormat="false" ht="15.75" hidden="false" customHeight="true" outlineLevel="0" collapsed="false">
      <c r="A76" s="1" t="s">
        <v>86</v>
      </c>
      <c r="B76" s="1" t="n">
        <f aca="false">VLOOKUP(A76, Sheet1!A:B, 2, FALSE())</f>
        <v>25.8</v>
      </c>
      <c r="C76" s="1" t="n">
        <f aca="false">VLOOKUP(A76, Safety!A:B, 2, FALSE())</f>
        <v>59.6045927973555</v>
      </c>
      <c r="D76" s="1" t="n">
        <f aca="false">VLOOKUP(A76, Health!A:B, 2, FALSE())</f>
        <v>77.6</v>
      </c>
      <c r="E76" s="1" t="n">
        <f aca="false">VLOOKUP(A76, Political!A:H, 8, FALSE())</f>
        <v>52.3416666666667</v>
      </c>
      <c r="F76" s="1" t="n">
        <f aca="false">VLOOKUP(A76, Pollution!A:B, 2, FALSE())</f>
        <v>23.49</v>
      </c>
      <c r="G76" s="1" t="n">
        <f aca="false">VLOOKUP(A76, Climate!A:B, 2, FALSE())</f>
        <v>660</v>
      </c>
      <c r="H76" s="1" t="n">
        <f aca="false">VLOOKUP(A76, English!A:C, 3, FALSE())</f>
        <v>402</v>
      </c>
      <c r="I76" s="1" t="n">
        <f aca="false">VLOOKUP(A76, Openness!A:C, 2, FALSE())</f>
        <v>6</v>
      </c>
      <c r="J76" s="1" t="n">
        <f aca="false">VLOOKUP(A76, Scenic!A:B, 2, FALSE())</f>
        <v>6</v>
      </c>
      <c r="K76" s="1" t="n">
        <f aca="false">VLOOKUP(A76, Disaster!A:H, 4, FALSE())</f>
        <v>14.1</v>
      </c>
      <c r="L76" s="1" t="n">
        <f aca="false">VLOOKUP(A76, LifeExp60!A:B, 2, FALSE())</f>
        <v>25.413</v>
      </c>
    </row>
    <row r="77" customFormat="false" ht="15.75" hidden="false" customHeight="true" outlineLevel="0" collapsed="false">
      <c r="A77" s="1" t="s">
        <v>87</v>
      </c>
      <c r="B77" s="1" t="n">
        <f aca="false">VLOOKUP(A77, Sheet1!A:B, 2, FALSE())</f>
        <v>27.5</v>
      </c>
      <c r="C77" s="1" t="n">
        <f aca="false">VLOOKUP(A77, Safety!A:B, 2, FALSE())</f>
        <v>43.0118320150422</v>
      </c>
      <c r="D77" s="1" t="n">
        <f aca="false">VLOOKUP(A77, Health!A:B, 2, FALSE())</f>
        <v>58.3</v>
      </c>
      <c r="E77" s="1" t="n">
        <f aca="false">VLOOKUP(A77, Political!A:H, 8, FALSE())</f>
        <v>59.495</v>
      </c>
      <c r="F77" s="1" t="n">
        <f aca="false">VLOOKUP(A77, Pollution!A:B, 2, FALSE())</f>
        <v>13.51</v>
      </c>
      <c r="G77" s="1" t="n">
        <f aca="false">VLOOKUP(A77, Climate!A:B, 2, FALSE())</f>
        <v>1659</v>
      </c>
      <c r="H77" s="1" t="n">
        <f aca="false">VLOOKUP(A77, English!A:C, 3, FALSE())</f>
        <v>503</v>
      </c>
      <c r="I77" s="1" t="e">
        <f aca="false">VLOOKUP(A77, Openness!A:C, 2, FALSE())</f>
        <v>#N/A</v>
      </c>
      <c r="J77" s="1" t="n">
        <f aca="false">VLOOKUP(A77, Scenic!A:B, 2, FALSE())</f>
        <v>38</v>
      </c>
      <c r="K77" s="1" t="n">
        <f aca="false">VLOOKUP(A77, Disaster!A:H, 4, FALSE())</f>
        <v>7.27</v>
      </c>
      <c r="L77" s="1" t="n">
        <f aca="false">VLOOKUP(A77, LifeExp60!A:B, 2, FALSE())</f>
        <v>23.212</v>
      </c>
    </row>
    <row r="78" customFormat="false" ht="15.75" hidden="false" customHeight="true" outlineLevel="0" collapsed="false">
      <c r="A78" s="1" t="s">
        <v>88</v>
      </c>
      <c r="B78" s="1" t="n">
        <f aca="false">VLOOKUP(A78, Sheet1!A:B, 2, FALSE())</f>
        <v>20.4</v>
      </c>
      <c r="C78" s="1" t="n">
        <f aca="false">VLOOKUP(A78, Safety!A:B, 2, FALSE())</f>
        <v>11.5903920997084</v>
      </c>
      <c r="D78" s="1" t="n">
        <f aca="false">VLOOKUP(A78, Health!A:B, 2, FALSE())</f>
        <v>78.2</v>
      </c>
      <c r="E78" s="1" t="n">
        <f aca="false">VLOOKUP(A78, Political!A:H, 8, FALSE())</f>
        <v>46.72</v>
      </c>
      <c r="F78" s="1" t="n">
        <f aca="false">VLOOKUP(A78, Pollution!A:B, 2, FALSE())</f>
        <v>18.61</v>
      </c>
      <c r="G78" s="1" t="n">
        <f aca="false">VLOOKUP(A78, Climate!A:B, 2, FALSE())</f>
        <v>2446</v>
      </c>
      <c r="H78" s="1" t="n">
        <f aca="false">VLOOKUP(A78, English!A:C, 3, FALSE())</f>
        <v>466</v>
      </c>
      <c r="I78" s="1" t="e">
        <f aca="false">VLOOKUP(A78, Openness!A:C, 2, FALSE())</f>
        <v>#N/A</v>
      </c>
      <c r="J78" s="1" t="n">
        <f aca="false">VLOOKUP(A78, Scenic!A:B, 2, FALSE())</f>
        <v>52</v>
      </c>
      <c r="K78" s="1" t="n">
        <f aca="false">VLOOKUP(A78, Disaster!A:H, 4, FALSE())</f>
        <v>14.33</v>
      </c>
      <c r="L78" s="1" t="n">
        <f aca="false">VLOOKUP(A78, LifeExp60!A:B, 2, FALSE())</f>
        <v>24.106</v>
      </c>
    </row>
    <row r="79" customFormat="false" ht="15.75" hidden="false" customHeight="true" outlineLevel="0" collapsed="false">
      <c r="A79" s="1" t="s">
        <v>89</v>
      </c>
      <c r="B79" s="1" t="n">
        <f aca="false">VLOOKUP(A79, Sheet1!A:B, 2, FALSE())</f>
        <v>20.4</v>
      </c>
      <c r="C79" s="1" t="n">
        <f aca="false">VLOOKUP(A79, Safety!A:B, 2, FALSE())</f>
        <v>79.8755873101447</v>
      </c>
      <c r="D79" s="1" t="n">
        <f aca="false">VLOOKUP(A79, Health!A:B, 2, FALSE())</f>
        <v>64.4</v>
      </c>
      <c r="E79" s="1" t="n">
        <f aca="false">VLOOKUP(A79, Political!A:H, 8, FALSE())</f>
        <v>46.5316666666667</v>
      </c>
      <c r="F79" s="1" t="n">
        <f aca="false">VLOOKUP(A79, Pollution!A:B, 2, FALSE())</f>
        <v>32.77</v>
      </c>
      <c r="G79" s="1" t="n">
        <f aca="false">VLOOKUP(A79, Climate!A:B, 2, FALSE())</f>
        <v>2281</v>
      </c>
      <c r="H79" s="1" t="n">
        <f aca="false">VLOOKUP(A79, English!A:C, 3, FALSE())</f>
        <v>429</v>
      </c>
      <c r="I79" s="1" t="e">
        <f aca="false">VLOOKUP(A79, Openness!A:C, 2, FALSE())</f>
        <v>#N/A</v>
      </c>
      <c r="J79" s="1" t="n">
        <f aca="false">VLOOKUP(A79, Scenic!A:B, 2, FALSE())</f>
        <v>77</v>
      </c>
      <c r="K79" s="1" t="n">
        <f aca="false">VLOOKUP(A79, Disaster!A:H, 4, FALSE())</f>
        <v>0.17</v>
      </c>
      <c r="L79" s="1" t="n">
        <f aca="false">VLOOKUP(A79, LifeExp60!A:B, 2, FALSE())</f>
        <v>20.453</v>
      </c>
    </row>
    <row r="80" customFormat="false" ht="15.75" hidden="false" customHeight="true" outlineLevel="0" collapsed="false">
      <c r="A80" s="1" t="s">
        <v>90</v>
      </c>
      <c r="B80" s="1" t="n">
        <f aca="false">VLOOKUP(A80, Sheet1!A:B, 2, FALSE())</f>
        <v>19.3</v>
      </c>
      <c r="C80" s="1" t="n">
        <f aca="false">VLOOKUP(A80, Safety!A:B, 2, FALSE())</f>
        <v>64.0354934136153</v>
      </c>
      <c r="D80" s="1" t="n">
        <f aca="false">VLOOKUP(A80, Health!A:B, 2, FALSE())</f>
        <v>56</v>
      </c>
      <c r="E80" s="1" t="n">
        <f aca="false">VLOOKUP(A80, Political!A:H, 8, FALSE())</f>
        <v>47.75</v>
      </c>
      <c r="F80" s="1" t="n">
        <f aca="false">VLOOKUP(A80, Pollution!A:B, 2, FALSE())</f>
        <v>14.85</v>
      </c>
      <c r="G80" s="1" t="n">
        <f aca="false">VLOOKUP(A80, Climate!A:B, 2, FALSE())</f>
        <v>2248</v>
      </c>
      <c r="H80" s="1" t="n">
        <f aca="false">VLOOKUP(A80, English!A:C, 3, FALSE())</f>
        <v>526</v>
      </c>
      <c r="I80" s="1" t="e">
        <f aca="false">VLOOKUP(A80, Openness!A:C, 2, FALSE())</f>
        <v>#N/A</v>
      </c>
      <c r="J80" s="1" t="n">
        <f aca="false">VLOOKUP(A80, Scenic!A:B, 2, FALSE())</f>
        <v>86</v>
      </c>
      <c r="K80" s="1" t="n">
        <f aca="false">VLOOKUP(A80, Disaster!A:H, 4, FALSE())</f>
        <v>0.45</v>
      </c>
      <c r="L80" s="1" t="n">
        <f aca="false">VLOOKUP(A80, LifeExp60!A:B, 2, FALSE())</f>
        <v>22.85</v>
      </c>
    </row>
    <row r="81" customFormat="false" ht="15.75" hidden="false" customHeight="true" outlineLevel="0" collapsed="false">
      <c r="A81" s="1" t="s">
        <v>91</v>
      </c>
      <c r="B81" s="1" t="n">
        <f aca="false">VLOOKUP(A81, Sheet1!A:B, 2, FALSE())</f>
        <v>21.9</v>
      </c>
      <c r="C81" s="1" t="n">
        <f aca="false">VLOOKUP(A81, Safety!A:B, 2, FALSE())</f>
        <v>30.7901938995729</v>
      </c>
      <c r="D81" s="1" t="n">
        <f aca="false">VLOOKUP(A81, Health!A:B, 2, FALSE())</f>
        <v>59.2</v>
      </c>
      <c r="E81" s="1" t="n">
        <f aca="false">VLOOKUP(A81, Political!A:H, 8, FALSE())</f>
        <v>52.4716666666667</v>
      </c>
      <c r="F81" s="1" t="n">
        <f aca="false">VLOOKUP(A81, Pollution!A:B, 2, FALSE())</f>
        <v>13.38</v>
      </c>
      <c r="G81" s="1" t="n">
        <f aca="false">VLOOKUP(A81, Climate!A:B, 2, FALSE())</f>
        <v>2930</v>
      </c>
      <c r="H81" s="1" t="n">
        <f aca="false">VLOOKUP(A81, English!A:C, 3, FALSE())</f>
        <v>482</v>
      </c>
      <c r="I81" s="1" t="n">
        <f aca="false">VLOOKUP(A81, Openness!A:C, 2, FALSE())</f>
        <v>5</v>
      </c>
      <c r="J81" s="1" t="n">
        <f aca="false">VLOOKUP(A81, Scenic!A:B, 2, FALSE())</f>
        <v>12</v>
      </c>
      <c r="K81" s="1" t="n">
        <f aca="false">VLOOKUP(A81, Disaster!A:H, 4, FALSE())</f>
        <v>6.31</v>
      </c>
      <c r="L81" s="1" t="n">
        <f aca="false">VLOOKUP(A81, LifeExp60!A:B, 2, FALSE())</f>
        <v>23.262</v>
      </c>
    </row>
    <row r="82" customFormat="false" ht="15.75" hidden="false" customHeight="true" outlineLevel="0" collapsed="false">
      <c r="A82" s="1" t="s">
        <v>92</v>
      </c>
      <c r="B82" s="1" t="n">
        <f aca="false">VLOOKUP(A82, Sheet1!A:B, 2, FALSE())</f>
        <v>18.6</v>
      </c>
      <c r="C82" s="1" t="n">
        <f aca="false">VLOOKUP(A82, Safety!A:B, 2, FALSE())</f>
        <v>46.0021457058031</v>
      </c>
      <c r="D82" s="1" t="n">
        <f aca="false">VLOOKUP(A82, Health!A:B, 2, FALSE())</f>
        <v>47.2</v>
      </c>
      <c r="E82" s="1" t="n">
        <f aca="false">VLOOKUP(A82, Political!A:H, 8, FALSE())</f>
        <v>33.94</v>
      </c>
      <c r="F82" s="1" t="n">
        <f aca="false">VLOOKUP(A82, Pollution!A:B, 2, FALSE())</f>
        <v>49.47</v>
      </c>
      <c r="G82" s="1" t="n">
        <f aca="false">VLOOKUP(A82, Climate!A:B, 2, FALSE())</f>
        <v>2113</v>
      </c>
      <c r="H82" s="1" t="n">
        <f aca="false">VLOOKUP(A82, English!A:C, 3, FALSE())</f>
        <v>406</v>
      </c>
      <c r="I82" s="1" t="e">
        <f aca="false">VLOOKUP(A82, Openness!A:C, 2, FALSE())</f>
        <v>#N/A</v>
      </c>
      <c r="J82" s="1" t="e">
        <f aca="false">VLOOKUP(A82, Scenic!A:B, 2, FALSE())</f>
        <v>#N/A</v>
      </c>
      <c r="K82" s="1" t="n">
        <f aca="false">VLOOKUP(A82, Disaster!A:H, 4, FALSE())</f>
        <v>1.7</v>
      </c>
      <c r="L82" s="1" t="n">
        <f aca="false">VLOOKUP(A82, LifeExp60!A:B, 2, FALSE())</f>
        <v>19.373</v>
      </c>
    </row>
    <row r="83" customFormat="false" ht="15.75" hidden="false" customHeight="true" outlineLevel="0" collapsed="false">
      <c r="A83" s="1" t="s">
        <v>93</v>
      </c>
      <c r="B83" s="1" t="n">
        <f aca="false">VLOOKUP(A83, Sheet1!A:B, 2, FALSE())</f>
        <v>20.5</v>
      </c>
      <c r="C83" s="1" t="e">
        <f aca="false">VLOOKUP(A83, Safety!A:B, 2, FALSE())</f>
        <v>#N/A</v>
      </c>
      <c r="D83" s="1" t="e">
        <f aca="false">VLOOKUP(A83, Health!A:B, 2, FALSE())</f>
        <v>#N/A</v>
      </c>
      <c r="E83" s="1" t="n">
        <f aca="false">VLOOKUP(A83, Political!A:H, 8, FALSE())</f>
        <v>43.3666666666667</v>
      </c>
      <c r="F83" s="1" t="n">
        <f aca="false">VLOOKUP(A83, Pollution!A:B, 2, FALSE())</f>
        <v>20.12</v>
      </c>
      <c r="G83" s="1" t="n">
        <f aca="false">VLOOKUP(A83, Climate!A:B, 2, FALSE())</f>
        <v>2356</v>
      </c>
      <c r="H83" s="1" t="n">
        <f aca="false">VLOOKUP(A83, English!A:C, 3, FALSE())</f>
        <v>443</v>
      </c>
      <c r="I83" s="1" t="e">
        <f aca="false">VLOOKUP(A83, Openness!A:C, 2, FALSE())</f>
        <v>#N/A</v>
      </c>
      <c r="J83" s="1" t="e">
        <f aca="false">VLOOKUP(A83, Scenic!A:B, 2, FALSE())</f>
        <v>#N/A</v>
      </c>
      <c r="K83" s="1" t="n">
        <f aca="false">VLOOKUP(A83, Disaster!A:H, 4, FALSE())</f>
        <v>0.23</v>
      </c>
      <c r="L83" s="1" t="n">
        <f aca="false">VLOOKUP(A83, LifeExp60!A:B, 2, FALSE())</f>
        <v>19.594</v>
      </c>
    </row>
    <row r="84" customFormat="false" ht="15.75" hidden="false" customHeight="true" outlineLevel="0" collapsed="false">
      <c r="A84" s="1" t="s">
        <v>94</v>
      </c>
      <c r="B84" s="1" t="n">
        <f aca="false">VLOOKUP(A84, Sheet1!A:B, 2, FALSE())</f>
        <v>20.4</v>
      </c>
      <c r="C84" s="1" t="n">
        <f aca="false">VLOOKUP(A84, Safety!A:B, 2, FALSE())</f>
        <v>77.4400510776039</v>
      </c>
      <c r="D84" s="1" t="n">
        <f aca="false">VLOOKUP(A84, Health!A:B, 2, FALSE())</f>
        <v>46.8</v>
      </c>
      <c r="E84" s="1" t="n">
        <f aca="false">VLOOKUP(A84, Political!A:H, 8, FALSE())</f>
        <v>50.53</v>
      </c>
      <c r="F84" s="1" t="n">
        <f aca="false">VLOOKUP(A84, Pollution!A:B, 2, FALSE())</f>
        <v>18.72</v>
      </c>
      <c r="G84" s="1" t="n">
        <f aca="false">VLOOKUP(A84, Climate!A:B, 2, FALSE())</f>
        <v>3506</v>
      </c>
      <c r="H84" s="1" t="n">
        <f aca="false">VLOOKUP(A84, English!A:C, 3, FALSE())</f>
        <v>492</v>
      </c>
      <c r="I84" s="1" t="e">
        <f aca="false">VLOOKUP(A84, Openness!A:C, 2, FALSE())</f>
        <v>#N/A</v>
      </c>
      <c r="J84" s="1" t="n">
        <f aca="false">VLOOKUP(A84, Scenic!A:B, 2, FALSE())</f>
        <v>30</v>
      </c>
      <c r="K84" s="1" t="n">
        <f aca="false">VLOOKUP(A84, Disaster!A:H, 4, FALSE())</f>
        <v>7.45</v>
      </c>
      <c r="L84" s="1" t="n">
        <f aca="false">VLOOKUP(A84, LifeExp60!A:B, 2, FALSE())</f>
        <v>21.689</v>
      </c>
    </row>
    <row r="85" customFormat="false" ht="15.75" hidden="false" customHeight="true" outlineLevel="0" collapsed="false">
      <c r="A85" s="1" t="s">
        <v>95</v>
      </c>
      <c r="B85" s="1" t="n">
        <f aca="false">VLOOKUP(A85, Sheet1!A:B, 2, FALSE())</f>
        <v>21.3</v>
      </c>
      <c r="C85" s="1" t="n">
        <f aca="false">VLOOKUP(A85, Safety!A:B, 2, FALSE())</f>
        <v>74.7878804244152</v>
      </c>
      <c r="D85" s="1" t="n">
        <f aca="false">VLOOKUP(A85, Health!A:B, 2, FALSE())</f>
        <v>49</v>
      </c>
      <c r="E85" s="1" t="n">
        <f aca="false">VLOOKUP(A85, Political!A:H, 8, FALSE())</f>
        <v>48.0733333333333</v>
      </c>
      <c r="F85" s="1" t="n">
        <f aca="false">VLOOKUP(A85, Pollution!A:B, 2, FALSE())</f>
        <v>23.71</v>
      </c>
      <c r="G85" s="1" t="n">
        <f aca="false">VLOOKUP(A85, Climate!A:B, 2, FALSE())</f>
        <v>2247</v>
      </c>
      <c r="H85" s="1" t="n">
        <f aca="false">VLOOKUP(A85, English!A:C, 3, FALSE())</f>
        <v>454</v>
      </c>
      <c r="I85" s="1" t="e">
        <f aca="false">VLOOKUP(A85, Openness!A:C, 2, FALSE())</f>
        <v>#N/A</v>
      </c>
      <c r="J85" s="1" t="n">
        <f aca="false">VLOOKUP(A85, Scenic!A:B, 2, FALSE())</f>
        <v>68</v>
      </c>
      <c r="K85" s="1" t="n">
        <f aca="false">VLOOKUP(A85, Disaster!A:H, 4, FALSE())</f>
        <v>0.22</v>
      </c>
      <c r="L85" s="1" t="n">
        <f aca="false">VLOOKUP(A85, LifeExp60!A:B, 2, FALSE())</f>
        <v>20.898</v>
      </c>
    </row>
    <row r="86" customFormat="false" ht="15.75" hidden="false" customHeight="true" outlineLevel="0" collapsed="false">
      <c r="A86" s="1" t="s">
        <v>96</v>
      </c>
      <c r="B86" s="1" t="n">
        <f aca="false">VLOOKUP(A86, Sheet1!A:B, 2, FALSE())</f>
        <v>11.6</v>
      </c>
      <c r="C86" s="1" t="n">
        <f aca="false">VLOOKUP(A86, Safety!A:B, 2, FALSE())</f>
        <v>69.20709283396</v>
      </c>
      <c r="D86" s="1" t="n">
        <f aca="false">VLOOKUP(A86, Health!A:B, 2, FALSE())</f>
        <v>65.6</v>
      </c>
      <c r="E86" s="1" t="n">
        <f aca="false">VLOOKUP(A86, Political!A:H, 8, FALSE())</f>
        <v>54.0016666666667</v>
      </c>
      <c r="F86" s="1" t="n">
        <f aca="false">VLOOKUP(A86, Pollution!A:B, 2, FALSE())</f>
        <v>54.05</v>
      </c>
      <c r="G86" s="1" t="n">
        <f aca="false">VLOOKUP(A86, Climate!A:B, 2, FALSE())</f>
        <v>1771</v>
      </c>
      <c r="H86" s="1" t="n">
        <f aca="false">VLOOKUP(A86, English!A:C, 3, FALSE())</f>
        <v>484</v>
      </c>
      <c r="I86" s="1" t="n">
        <f aca="false">VLOOKUP(A86, Openness!A:C, 2, FALSE())</f>
        <v>26</v>
      </c>
      <c r="J86" s="1" t="n">
        <f aca="false">VLOOKUP(A86, Scenic!A:B, 2, FALSE())</f>
        <v>48</v>
      </c>
      <c r="K86" s="1" t="n">
        <f aca="false">VLOOKUP(A86, Disaster!A:H, 4, FALSE())</f>
        <v>40.83</v>
      </c>
      <c r="L86" s="1" t="n">
        <f aca="false">VLOOKUP(A86, LifeExp60!A:B, 2, FALSE())</f>
        <v>20.174</v>
      </c>
    </row>
    <row r="87" customFormat="false" ht="15.75" hidden="false" customHeight="true" outlineLevel="0" collapsed="false">
      <c r="A87" s="1" t="s">
        <v>97</v>
      </c>
      <c r="B87" s="1" t="n">
        <f aca="false">VLOOKUP(A87, Sheet1!A:B, 2, FALSE())</f>
        <v>19</v>
      </c>
      <c r="C87" s="1" t="n">
        <f aca="false">VLOOKUP(A87, Safety!A:B, 2, FALSE())</f>
        <v>78.6074416392833</v>
      </c>
      <c r="D87" s="1" t="n">
        <f aca="false">VLOOKUP(A87, Health!A:B, 2, FALSE())</f>
        <v>62.8</v>
      </c>
      <c r="E87" s="1" t="n">
        <f aca="false">VLOOKUP(A87, Political!A:H, 8, FALSE())</f>
        <v>52.1366666666667</v>
      </c>
      <c r="F87" s="1" t="n">
        <f aca="false">VLOOKUP(A87, Pollution!A:B, 2, FALSE())</f>
        <v>24.78</v>
      </c>
      <c r="G87" s="1" t="n">
        <f aca="false">VLOOKUP(A87, Climate!A:B, 2, FALSE())</f>
        <v>1139</v>
      </c>
      <c r="H87" s="1" t="n">
        <f aca="false">VLOOKUP(A87, English!A:C, 3, FALSE())</f>
        <v>500</v>
      </c>
      <c r="I87" s="1" t="n">
        <f aca="false">VLOOKUP(A87, Openness!A:C, 2, FALSE())</f>
        <v>13</v>
      </c>
      <c r="J87" s="1" t="n">
        <f aca="false">VLOOKUP(A87, Scenic!A:B, 2, FALSE())</f>
        <v>36</v>
      </c>
      <c r="K87" s="1" t="n">
        <f aca="false">VLOOKUP(A87, Disaster!A:H, 4, FALSE())</f>
        <v>26.12</v>
      </c>
      <c r="L87" s="1" t="n">
        <f aca="false">VLOOKUP(A87, LifeExp60!A:B, 2, FALSE())</f>
        <v>23.713</v>
      </c>
    </row>
    <row r="88" customFormat="false" ht="15.75" hidden="false" customHeight="true" outlineLevel="0" collapsed="false">
      <c r="A88" s="1" t="s">
        <v>98</v>
      </c>
      <c r="B88" s="1" t="n">
        <f aca="false">VLOOKUP(A88, Sheet1!A:B, 2, FALSE())</f>
        <v>19.8</v>
      </c>
      <c r="C88" s="1" t="n">
        <f aca="false">VLOOKUP(A88, Safety!A:B, 2, FALSE())</f>
        <v>85.3357063706537</v>
      </c>
      <c r="D88" s="1" t="e">
        <f aca="false">VLOOKUP(A88, Health!A:B, 2, FALSE())</f>
        <v>#N/A</v>
      </c>
      <c r="E88" s="1" t="n">
        <f aca="false">VLOOKUP(A88, Political!A:H, 8, FALSE())</f>
        <v>37.8716666666667</v>
      </c>
      <c r="F88" s="1" t="n">
        <f aca="false">VLOOKUP(A88, Pollution!A:B, 2, FALSE())</f>
        <v>33.35</v>
      </c>
      <c r="G88" s="1" t="e">
        <f aca="false">VLOOKUP(A88, Climate!A:B, 2, FALSE())</f>
        <v>#N/A</v>
      </c>
      <c r="H88" s="1" t="n">
        <f aca="false">VLOOKUP(A88, English!A:C, 3, FALSE())</f>
        <v>409</v>
      </c>
      <c r="I88" s="1" t="e">
        <f aca="false">VLOOKUP(A88, Openness!A:C, 2, FALSE())</f>
        <v>#N/A</v>
      </c>
      <c r="J88" s="1" t="e">
        <f aca="false">VLOOKUP(A88, Scenic!A:B, 2, FALSE())</f>
        <v>#N/A</v>
      </c>
      <c r="K88" s="1" t="n">
        <f aca="false">VLOOKUP(A88, Disaster!A:H, 4, FALSE())</f>
        <v>0.23</v>
      </c>
      <c r="L88" s="1" t="n">
        <f aca="false">VLOOKUP(A88, LifeExp60!A:B, 2, FALSE())</f>
        <v>19.213</v>
      </c>
    </row>
    <row r="89" customFormat="false" ht="15.75" hidden="false" customHeight="true" outlineLevel="0" collapsed="false">
      <c r="A89" s="1" t="s">
        <v>99</v>
      </c>
      <c r="B89" s="1" t="n">
        <f aca="false">VLOOKUP(A89, Sheet1!A:B, 2, FALSE())</f>
        <v>22.9</v>
      </c>
      <c r="C89" s="1" t="n">
        <f aca="false">VLOOKUP(A89, Safety!A:B, 2, FALSE())</f>
        <v>52.8835092367826</v>
      </c>
      <c r="D89" s="1" t="e">
        <f aca="false">VLOOKUP(A89, Health!A:B, 2, FALSE())</f>
        <v>#N/A</v>
      </c>
      <c r="E89" s="1" t="n">
        <f aca="false">VLOOKUP(A89, Political!A:H, 8, FALSE())</f>
        <v>35.4233333333333</v>
      </c>
      <c r="F89" s="1" t="n">
        <f aca="false">VLOOKUP(A89, Pollution!A:B, 2, FALSE())</f>
        <v>15.03</v>
      </c>
      <c r="G89" s="1" t="n">
        <f aca="false">VLOOKUP(A89, Climate!A:B, 2, FALSE())</f>
        <v>3684</v>
      </c>
      <c r="H89" s="1" t="n">
        <f aca="false">VLOOKUP(A89, English!A:C, 3, FALSE())</f>
        <v>602</v>
      </c>
      <c r="I89" s="1" t="e">
        <f aca="false">VLOOKUP(A89, Openness!A:C, 2, FALSE())</f>
        <v>#N/A</v>
      </c>
      <c r="J89" s="1" t="n">
        <f aca="false">VLOOKUP(A89, Scenic!A:B, 2, FALSE())</f>
        <v>71</v>
      </c>
      <c r="K89" s="1" t="n">
        <f aca="false">VLOOKUP(A89, Disaster!A:H, 4, FALSE())</f>
        <v>0.2</v>
      </c>
      <c r="L89" s="1" t="n">
        <f aca="false">VLOOKUP(A89, LifeExp60!A:B, 2, FALSE())</f>
        <v>17.437</v>
      </c>
    </row>
    <row r="90" customFormat="false" ht="15.75" hidden="false" customHeight="true" outlineLevel="0" collapsed="false">
      <c r="A90" s="1" t="s">
        <v>100</v>
      </c>
      <c r="B90" s="1" t="n">
        <f aca="false">VLOOKUP(A90, Sheet1!A:B, 2, FALSE())</f>
        <v>19.1</v>
      </c>
      <c r="C90" s="1" t="n">
        <f aca="false">VLOOKUP(A90, Safety!A:B, 2, FALSE())</f>
        <v>59.2891151140975</v>
      </c>
      <c r="D90" s="1" t="n">
        <f aca="false">VLOOKUP(A90, Health!A:B, 2, FALSE())</f>
        <v>62.2</v>
      </c>
      <c r="E90" s="1" t="n">
        <f aca="false">VLOOKUP(A90, Political!A:H, 8, FALSE())</f>
        <v>46.4633333333333</v>
      </c>
      <c r="F90" s="1" t="n">
        <f aca="false">VLOOKUP(A90, Pollution!A:B, 2, FALSE())</f>
        <v>20.25</v>
      </c>
      <c r="G90" s="1" t="n">
        <f aca="false">VLOOKUP(A90, Climate!A:B, 2, FALSE())</f>
        <v>3871</v>
      </c>
      <c r="H90" s="1" t="n">
        <f aca="false">VLOOKUP(A90, English!A:C, 3, FALSE())</f>
        <v>593</v>
      </c>
      <c r="I90" s="1" t="n">
        <f aca="false">VLOOKUP(A90, Openness!A:C, 2, FALSE())</f>
        <v>9</v>
      </c>
      <c r="J90" s="1" t="n">
        <f aca="false">VLOOKUP(A90, Scenic!A:B, 2, FALSE())</f>
        <v>49</v>
      </c>
      <c r="K90" s="1" t="n">
        <f aca="false">VLOOKUP(A90, Disaster!A:H, 4, FALSE())</f>
        <v>3.12</v>
      </c>
      <c r="L90" s="1" t="n">
        <f aca="false">VLOOKUP(A90, LifeExp60!A:B, 2, FALSE())</f>
        <v>18.095</v>
      </c>
    </row>
    <row r="91" customFormat="false" ht="15.75" hidden="false" customHeight="true" outlineLevel="0" collapsed="false">
      <c r="A91" s="1" t="s">
        <v>101</v>
      </c>
      <c r="B91" s="1" t="n">
        <f aca="false">VLOOKUP(A91, Sheet1!A:B, 2, FALSE())</f>
        <v>18</v>
      </c>
      <c r="C91" s="1" t="n">
        <f aca="false">VLOOKUP(A91, Safety!A:B, 2, FALSE())</f>
        <v>60.0010846874637</v>
      </c>
      <c r="D91" s="1" t="n">
        <f aca="false">VLOOKUP(A91, Health!A:B, 2, FALSE())</f>
        <v>56.6</v>
      </c>
      <c r="E91" s="1" t="n">
        <f aca="false">VLOOKUP(A91, Political!A:H, 8, FALSE())</f>
        <v>48.045</v>
      </c>
      <c r="F91" s="1" t="n">
        <f aca="false">VLOOKUP(A91, Pollution!A:B, 2, FALSE())</f>
        <v>18.87</v>
      </c>
      <c r="G91" s="1" t="n">
        <f aca="false">VLOOKUP(A91, Climate!A:B, 2, FALSE())</f>
        <v>3026</v>
      </c>
      <c r="H91" s="1" t="n">
        <f aca="false">VLOOKUP(A91, English!A:C, 3, FALSE())</f>
        <v>498</v>
      </c>
      <c r="I91" s="1" t="e">
        <f aca="false">VLOOKUP(A91, Openness!A:C, 2, FALSE())</f>
        <v>#N/A</v>
      </c>
      <c r="J91" s="1" t="n">
        <f aca="false">VLOOKUP(A91, Scenic!A:B, 2, FALSE())</f>
        <v>58</v>
      </c>
      <c r="K91" s="1" t="n">
        <f aca="false">VLOOKUP(A91, Disaster!A:H, 4, FALSE())</f>
        <v>3.45</v>
      </c>
      <c r="L91" s="1" t="n">
        <f aca="false">VLOOKUP(A91, LifeExp60!A:B, 2, FALSE())</f>
        <v>22.132</v>
      </c>
    </row>
    <row r="92" customFormat="false" ht="15.75" hidden="false" customHeight="true" outlineLevel="0" collapsed="false">
      <c r="A92" s="1" t="s">
        <v>102</v>
      </c>
      <c r="B92" s="1" t="n">
        <f aca="false">VLOOKUP(A92, Sheet1!A:B, 2, FALSE())</f>
        <v>19.1</v>
      </c>
      <c r="C92" s="1" t="n">
        <f aca="false">VLOOKUP(A92, Safety!A:B, 2, FALSE())</f>
        <v>61.438795199093</v>
      </c>
      <c r="D92" s="1" t="n">
        <f aca="false">VLOOKUP(A92, Health!A:B, 2, FALSE())</f>
        <v>67</v>
      </c>
      <c r="E92" s="1" t="n">
        <f aca="false">VLOOKUP(A92, Political!A:H, 8, FALSE())</f>
        <v>51.0216666666667</v>
      </c>
      <c r="F92" s="1" t="n">
        <f aca="false">VLOOKUP(A92, Pollution!A:B, 2, FALSE())</f>
        <v>22.21</v>
      </c>
      <c r="G92" s="1" t="n">
        <f aca="false">VLOOKUP(A92, Climate!A:B, 2, FALSE())</f>
        <v>928</v>
      </c>
      <c r="H92" s="1" t="n">
        <f aca="false">VLOOKUP(A92, English!A:C, 3, FALSE())</f>
        <v>569</v>
      </c>
      <c r="I92" s="1" t="n">
        <f aca="false">VLOOKUP(A92, Openness!A:C, 2, FALSE())</f>
        <v>3</v>
      </c>
      <c r="J92" s="1" t="n">
        <f aca="false">VLOOKUP(A92, Scenic!A:B, 2, FALSE())</f>
        <v>34</v>
      </c>
      <c r="K92" s="1" t="n">
        <f aca="false">VLOOKUP(A92, Disaster!A:H, 4, FALSE())</f>
        <v>40.76</v>
      </c>
      <c r="L92" s="1" t="n">
        <f aca="false">VLOOKUP(A92, LifeExp60!A:B, 2, FALSE())</f>
        <v>19.19</v>
      </c>
    </row>
    <row r="93" customFormat="false" ht="15.75" hidden="false" customHeight="true" outlineLevel="0" collapsed="false">
      <c r="A93" s="1" t="s">
        <v>103</v>
      </c>
      <c r="B93" s="1" t="n">
        <f aca="false">VLOOKUP(A93, Sheet1!A:B, 2, FALSE())</f>
        <v>16.1</v>
      </c>
      <c r="C93" s="1" t="n">
        <f aca="false">VLOOKUP(A93, Safety!A:B, 2, FALSE())</f>
        <v>82.2784352735108</v>
      </c>
      <c r="D93" s="1" t="n">
        <f aca="false">VLOOKUP(A93, Health!A:B, 2, FALSE())</f>
        <v>54.7</v>
      </c>
      <c r="E93" s="1" t="n">
        <f aca="false">VLOOKUP(A93, Political!A:H, 8, FALSE())</f>
        <v>44.5533333333333</v>
      </c>
      <c r="F93" s="1" t="n">
        <f aca="false">VLOOKUP(A93, Pollution!A:B, 2, FALSE())</f>
        <v>16.54</v>
      </c>
      <c r="G93" s="1" t="n">
        <f aca="false">VLOOKUP(A93, Climate!A:B, 2, FALSE())</f>
        <v>3100</v>
      </c>
      <c r="H93" s="1" t="n">
        <f aca="false">VLOOKUP(A93, English!A:C, 3, FALSE())</f>
        <v>468</v>
      </c>
      <c r="I93" s="1" t="e">
        <f aca="false">VLOOKUP(A93, Openness!A:C, 2, FALSE())</f>
        <v>#N/A</v>
      </c>
      <c r="J93" s="1" t="n">
        <f aca="false">VLOOKUP(A93, Scenic!A:B, 2, FALSE())</f>
        <v>80</v>
      </c>
      <c r="K93" s="1" t="n">
        <f aca="false">VLOOKUP(A93, Disaster!A:H, 4, FALSE())</f>
        <v>3.07</v>
      </c>
      <c r="L93" s="1" t="n">
        <f aca="false">VLOOKUP(A93, LifeExp60!A:B, 2, FALSE())</f>
        <v>21.905</v>
      </c>
    </row>
    <row r="94" customFormat="false" ht="15.75" hidden="false" customHeight="true" outlineLevel="0" collapsed="false">
      <c r="A94" s="1" t="s">
        <v>104</v>
      </c>
      <c r="B94" s="1" t="n">
        <f aca="false">VLOOKUP(A94, Sheet1!A:B, 2, FALSE())</f>
        <v>19.5</v>
      </c>
      <c r="C94" s="1" t="n">
        <f aca="false">VLOOKUP(A94, Safety!A:B, 2, FALSE())</f>
        <v>61.1397277534851</v>
      </c>
      <c r="D94" s="1" t="e">
        <f aca="false">VLOOKUP(A94, Health!A:B, 2, FALSE())</f>
        <v>#N/A</v>
      </c>
      <c r="E94" s="1" t="n">
        <f aca="false">VLOOKUP(A94, Political!A:H, 8, FALSE())</f>
        <v>42.0016666666667</v>
      </c>
      <c r="F94" s="1" t="n">
        <f aca="false">VLOOKUP(A94, Pollution!A:B, 2, FALSE())</f>
        <v>28.14</v>
      </c>
      <c r="G94" s="1" t="e">
        <f aca="false">VLOOKUP(A94, Climate!A:B, 2, FALSE())</f>
        <v>#N/A</v>
      </c>
      <c r="H94" s="1" t="n">
        <f aca="false">VLOOKUP(A94, English!A:C, 3, FALSE())</f>
        <v>521</v>
      </c>
      <c r="I94" s="1" t="e">
        <f aca="false">VLOOKUP(A94, Openness!A:C, 2, FALSE())</f>
        <v>#N/A</v>
      </c>
      <c r="J94" s="1" t="e">
        <f aca="false">VLOOKUP(A94, Scenic!A:B, 2, FALSE())</f>
        <v>#N/A</v>
      </c>
      <c r="K94" s="1" t="n">
        <f aca="false">VLOOKUP(A94, Disaster!A:H, 4, FALSE())</f>
        <v>0.35</v>
      </c>
      <c r="L94" s="1" t="n">
        <f aca="false">VLOOKUP(A94, LifeExp60!A:B, 2, FALSE())</f>
        <v>19.484</v>
      </c>
    </row>
    <row r="95" customFormat="false" ht="15.75" hidden="false" customHeight="true" outlineLevel="0" collapsed="false">
      <c r="A95" s="1" t="s">
        <v>105</v>
      </c>
      <c r="B95" s="1" t="n">
        <f aca="false">VLOOKUP(A95, Sheet1!A:B, 2, FALSE())</f>
        <v>17</v>
      </c>
      <c r="C95" s="1" t="n">
        <f aca="false">VLOOKUP(A95, Safety!A:B, 2, FALSE())</f>
        <v>93.8955021723955</v>
      </c>
      <c r="D95" s="1" t="n">
        <f aca="false">VLOOKUP(A95, Health!A:B, 2, FALSE())</f>
        <v>61.8</v>
      </c>
      <c r="E95" s="1" t="n">
        <f aca="false">VLOOKUP(A95, Political!A:H, 8, FALSE())</f>
        <v>52.39</v>
      </c>
      <c r="F95" s="1" t="n">
        <f aca="false">VLOOKUP(A95, Pollution!A:B, 2, FALSE())</f>
        <v>20.84</v>
      </c>
      <c r="G95" s="1" t="n">
        <f aca="false">VLOOKUP(A95, Climate!A:B, 2, FALSE())</f>
        <v>1023</v>
      </c>
      <c r="H95" s="1" t="n">
        <f aca="false">VLOOKUP(A95, English!A:C, 3, FALSE())</f>
        <v>471</v>
      </c>
      <c r="I95" s="1" t="n">
        <f aca="false">VLOOKUP(A95, Openness!A:C, 2, FALSE())</f>
        <v>4</v>
      </c>
      <c r="J95" s="1" t="n">
        <f aca="false">VLOOKUP(A95, Scenic!A:B, 2, FALSE())</f>
        <v>27</v>
      </c>
      <c r="K95" s="1" t="n">
        <f aca="false">VLOOKUP(A95, Disaster!A:H, 4, FALSE())</f>
        <v>39.78</v>
      </c>
      <c r="L95" s="1" t="n">
        <f aca="false">VLOOKUP(A95, LifeExp60!A:B, 2, FALSE())</f>
        <v>19.447</v>
      </c>
    </row>
    <row r="96" customFormat="false" ht="15.75" hidden="false" customHeight="true" outlineLevel="0" collapsed="false">
      <c r="A96" s="1" t="s">
        <v>106</v>
      </c>
      <c r="B96" s="1" t="n">
        <f aca="false">VLOOKUP(A96, Sheet1!A:B, 2, FALSE())</f>
        <v>15.1</v>
      </c>
      <c r="C96" s="1" t="n">
        <f aca="false">VLOOKUP(A96, Safety!A:B, 2, FALSE())</f>
        <v>72.0253859744391</v>
      </c>
      <c r="D96" s="1" t="n">
        <f aca="false">VLOOKUP(A96, Health!A:B, 2, FALSE())</f>
        <v>52.8</v>
      </c>
      <c r="E96" s="1" t="n">
        <f aca="false">VLOOKUP(A96, Political!A:H, 8, FALSE())</f>
        <v>31.9116666666667</v>
      </c>
      <c r="F96" s="1" t="n">
        <f aca="false">VLOOKUP(A96, Pollution!A:B, 2, FALSE())</f>
        <v>40.25</v>
      </c>
      <c r="G96" s="1" t="n">
        <f aca="false">VLOOKUP(A96, Climate!A:B, 2, FALSE())</f>
        <v>2389</v>
      </c>
      <c r="H96" s="1" t="n">
        <f aca="false">VLOOKUP(A96, English!A:C, 3, FALSE())</f>
        <v>492</v>
      </c>
      <c r="I96" s="1" t="e">
        <f aca="false">VLOOKUP(A96, Openness!A:C, 2, FALSE())</f>
        <v>#N/A</v>
      </c>
      <c r="J96" s="1" t="n">
        <f aca="false">VLOOKUP(A96, Scenic!A:B, 2, FALSE())</f>
        <v>89</v>
      </c>
      <c r="K96" s="1" t="n">
        <f aca="false">VLOOKUP(A96, Disaster!A:H, 4, FALSE())</f>
        <v>12.47</v>
      </c>
      <c r="L96" s="1" t="n">
        <f aca="false">VLOOKUP(A96, LifeExp60!A:B, 2, FALSE())</f>
        <v>22.889</v>
      </c>
    </row>
    <row r="97" customFormat="false" ht="15.75" hidden="false" customHeight="true" outlineLevel="0" collapsed="false">
      <c r="A97" s="1" t="s">
        <v>107</v>
      </c>
      <c r="B97" s="1" t="n">
        <f aca="false">VLOOKUP(A97, Sheet1!A:B, 2, FALSE())</f>
        <v>13.4</v>
      </c>
      <c r="C97" s="1" t="n">
        <f aca="false">VLOOKUP(A97, Safety!A:B, 2, FALSE())</f>
        <v>72.2513615194299</v>
      </c>
      <c r="D97" s="1" t="n">
        <f aca="false">VLOOKUP(A97, Health!A:B, 2, FALSE())</f>
        <v>42.1</v>
      </c>
      <c r="E97" s="1" t="n">
        <f aca="false">VLOOKUP(A97, Political!A:H, 8, FALSE())</f>
        <v>41.3383333333333</v>
      </c>
      <c r="F97" s="1" t="n">
        <f aca="false">VLOOKUP(A97, Pollution!A:B, 2, FALSE())</f>
        <v>69.25</v>
      </c>
      <c r="G97" s="1" t="n">
        <f aca="false">VLOOKUP(A97, Climate!A:B, 2, FALSE())</f>
        <v>1410</v>
      </c>
      <c r="H97" s="1" t="n">
        <f aca="false">VLOOKUP(A97, English!A:C, 3, FALSE())</f>
        <v>506</v>
      </c>
      <c r="I97" s="1" t="e">
        <f aca="false">VLOOKUP(A97, Openness!A:C, 2, FALSE())</f>
        <v>#N/A</v>
      </c>
      <c r="J97" s="1" t="n">
        <f aca="false">VLOOKUP(A97, Scenic!A:B, 2, FALSE())</f>
        <v>85</v>
      </c>
      <c r="K97" s="1" t="n">
        <f aca="false">VLOOKUP(A97, Disaster!A:H, 4, FALSE())</f>
        <v>15.91</v>
      </c>
      <c r="L97" s="1" t="n">
        <f aca="false">VLOOKUP(A97, LifeExp60!A:B, 2, FALSE())</f>
        <v>22.219</v>
      </c>
    </row>
    <row r="98" customFormat="false" ht="15.75" hidden="false" customHeight="true" outlineLevel="0" collapsed="false">
      <c r="A98" s="1" t="s">
        <v>108</v>
      </c>
      <c r="B98" s="1" t="n">
        <f aca="false">VLOOKUP(A98, Sheet1!A:B, 2, FALSE())</f>
        <v>24</v>
      </c>
      <c r="C98" s="1" t="n">
        <f aca="false">VLOOKUP(A98, Safety!A:B, 2, FALSE())</f>
        <v>39.8943716106187</v>
      </c>
      <c r="D98" s="1" t="n">
        <f aca="false">VLOOKUP(A98, Health!A:B, 2, FALSE())</f>
        <v>39.4</v>
      </c>
      <c r="E98" s="1" t="n">
        <f aca="false">VLOOKUP(A98, Political!A:H, 8, FALSE())</f>
        <v>24.8766666666667</v>
      </c>
      <c r="F98" s="1" t="n">
        <f aca="false">VLOOKUP(A98, Pollution!A:B, 2, FALSE())</f>
        <v>19.2</v>
      </c>
      <c r="G98" s="1" t="n">
        <f aca="false">VLOOKUP(A98, Climate!A:B, 2, FALSE())</f>
        <v>2821</v>
      </c>
      <c r="H98" s="1" t="n">
        <f aca="false">VLOOKUP(A98, English!A:C, 3, FALSE())</f>
        <v>520</v>
      </c>
      <c r="I98" s="1" t="e">
        <f aca="false">VLOOKUP(A98, Openness!A:C, 2, FALSE())</f>
        <v>#N/A</v>
      </c>
      <c r="J98" s="1" t="e">
        <f aca="false">VLOOKUP(A98, Scenic!A:B, 2, FALSE())</f>
        <v>#N/A</v>
      </c>
      <c r="K98" s="1" t="n">
        <f aca="false">VLOOKUP(A98, Disaster!A:H, 4, FALSE())</f>
        <v>15.89</v>
      </c>
      <c r="L98" s="1" t="n">
        <f aca="false">VLOOKUP(A98, LifeExp60!A:B, 2, FALSE())</f>
        <v>21.93</v>
      </c>
    </row>
    <row r="99" customFormat="false" ht="15.75" hidden="false" customHeight="true" outlineLevel="0" collapsed="false">
      <c r="A99" s="1" t="s">
        <v>109</v>
      </c>
      <c r="B99" s="1" t="n">
        <f aca="false">VLOOKUP(A99, Sheet1!A:B, 2, FALSE())</f>
        <v>20.2</v>
      </c>
      <c r="C99" s="1" t="n">
        <f aca="false">VLOOKUP(A99, Safety!A:B, 2, FALSE())</f>
        <v>66.3960695652176</v>
      </c>
      <c r="D99" s="1" t="n">
        <f aca="false">VLOOKUP(A99, Health!A:B, 2, FALSE())</f>
        <v>70.8</v>
      </c>
      <c r="E99" s="1" t="n">
        <f aca="false">VLOOKUP(A99, Political!A:H, 8, FALSE())</f>
        <v>53.375</v>
      </c>
      <c r="F99" s="1" t="n">
        <f aca="false">VLOOKUP(A99, Pollution!A:B, 2, FALSE())</f>
        <v>22.68</v>
      </c>
      <c r="G99" s="1" t="e">
        <f aca="false">VLOOKUP(A99, Climate!A:B, 2, FALSE())</f>
        <v>#N/A</v>
      </c>
      <c r="H99" s="1" t="n">
        <f aca="false">VLOOKUP(A99, English!A:C, 3, FALSE())</f>
        <v>486</v>
      </c>
      <c r="I99" s="1" t="e">
        <f aca="false">VLOOKUP(A99, Openness!A:C, 2, FALSE())</f>
        <v>#N/A</v>
      </c>
      <c r="J99" s="1" t="n">
        <f aca="false">VLOOKUP(A99, Scenic!A:B, 2, FALSE())</f>
        <v>37</v>
      </c>
      <c r="K99" s="1" t="n">
        <f aca="false">VLOOKUP(A99, Disaster!A:H, 4, FALSE())</f>
        <v>2.35</v>
      </c>
      <c r="L99" s="1" t="n">
        <f aca="false">VLOOKUP(A99, LifeExp60!A:B, 2, FALSE())</f>
        <v>23.221</v>
      </c>
    </row>
    <row r="100" customFormat="false" ht="15.75" hidden="false" customHeight="true" outlineLevel="0" collapsed="false">
      <c r="A100" s="1" t="s">
        <v>110</v>
      </c>
      <c r="B100" s="1" t="n">
        <f aca="false">VLOOKUP(A100, Sheet1!A:B, 2, FALSE())</f>
        <v>13.2</v>
      </c>
      <c r="C100" s="1" t="n">
        <f aca="false">VLOOKUP(A100, Safety!A:B, 2, FALSE())</f>
        <v>73.7585657767172</v>
      </c>
      <c r="D100" s="1" t="n">
        <f aca="false">VLOOKUP(A100, Health!A:B, 2, FALSE())</f>
        <v>58.1</v>
      </c>
      <c r="E100" s="1" t="n">
        <f aca="false">VLOOKUP(A100, Political!A:H, 8, FALSE())</f>
        <v>46.5583333333333</v>
      </c>
      <c r="F100" s="1" t="n">
        <f aca="false">VLOOKUP(A100, Pollution!A:B, 2, FALSE())</f>
        <v>53.2</v>
      </c>
      <c r="G100" s="1" t="n">
        <f aca="false">VLOOKUP(A100, Climate!A:B, 2, FALSE())</f>
        <v>3147</v>
      </c>
      <c r="H100" s="1" t="n">
        <f aca="false">VLOOKUP(A100, English!A:C, 3, FALSE())</f>
        <v>514</v>
      </c>
      <c r="I100" s="1" t="e">
        <f aca="false">VLOOKUP(A100, Openness!A:C, 2, FALSE())</f>
        <v>#N/A</v>
      </c>
      <c r="J100" s="1" t="e">
        <f aca="false">VLOOKUP(A100, Scenic!A:B, 2, FALSE())</f>
        <v>#N/A</v>
      </c>
      <c r="K100" s="1" t="n">
        <f aca="false">VLOOKUP(A100, Disaster!A:H, 4, FALSE())</f>
        <v>0.24</v>
      </c>
      <c r="L100" s="1" t="n">
        <f aca="false">VLOOKUP(A100, LifeExp60!A:B, 2, FALSE())</f>
        <v>18.378</v>
      </c>
    </row>
    <row r="101" customFormat="false" ht="15.75" hidden="false" customHeight="true" outlineLevel="0" collapsed="false">
      <c r="A101" s="1" t="s">
        <v>111</v>
      </c>
      <c r="B101" s="1" t="n">
        <f aca="false">VLOOKUP(A101, Sheet1!A:B, 2, FALSE())</f>
        <v>12.4</v>
      </c>
      <c r="C101" s="1" t="n">
        <f aca="false">VLOOKUP(A101, Safety!A:B, 2, FALSE())</f>
        <v>61.4947670533981</v>
      </c>
      <c r="D101" s="1" t="n">
        <f aca="false">VLOOKUP(A101, Health!A:B, 2, FALSE())</f>
        <v>59.4</v>
      </c>
      <c r="E101" s="1" t="n">
        <f aca="false">VLOOKUP(A101, Political!A:H, 8, FALSE())</f>
        <v>35.9383333333333</v>
      </c>
      <c r="F101" s="1" t="n">
        <f aca="false">VLOOKUP(A101, Pollution!A:B, 2, FALSE())</f>
        <v>58.37</v>
      </c>
      <c r="G101" s="1" t="n">
        <f aca="false">VLOOKUP(A101, Climate!A:B, 2, FALSE())</f>
        <v>1908</v>
      </c>
      <c r="H101" s="1" t="n">
        <f aca="false">VLOOKUP(A101, English!A:C, 3, FALSE())</f>
        <v>493</v>
      </c>
      <c r="I101" s="1" t="e">
        <f aca="false">VLOOKUP(A101, Openness!A:C, 2, FALSE())</f>
        <v>#N/A</v>
      </c>
      <c r="J101" s="1" t="e">
        <f aca="false">VLOOKUP(A101, Scenic!A:B, 2, FALSE())</f>
        <v>#N/A</v>
      </c>
      <c r="K101" s="1" t="n">
        <f aca="false">VLOOKUP(A101, Disaster!A:H, 4, FALSE())</f>
        <v>13.91</v>
      </c>
      <c r="L101" s="1" t="n">
        <f aca="false">VLOOKUP(A101, LifeExp60!A:B, 2, FALSE())</f>
        <v>18.577</v>
      </c>
    </row>
    <row r="102" customFormat="false" ht="15.75" hidden="false" customHeight="true" outlineLevel="0" collapsed="false">
      <c r="A102" s="1" t="s">
        <v>112</v>
      </c>
      <c r="B102" s="1" t="n">
        <f aca="false">VLOOKUP(A102, Sheet1!A:B, 2, FALSE())</f>
        <v>13.4</v>
      </c>
      <c r="C102" s="1" t="n">
        <f aca="false">VLOOKUP(A102, Safety!A:B, 2, FALSE())</f>
        <v>80.7251098060924</v>
      </c>
      <c r="D102" s="1" t="n">
        <f aca="false">VLOOKUP(A102, Health!A:B, 2, FALSE())</f>
        <v>47.9</v>
      </c>
      <c r="E102" s="1" t="n">
        <f aca="false">VLOOKUP(A102, Political!A:H, 8, FALSE())</f>
        <v>42.79</v>
      </c>
      <c r="F102" s="1" t="n">
        <f aca="false">VLOOKUP(A102, Pollution!A:B, 2, FALSE())</f>
        <v>43.15</v>
      </c>
      <c r="G102" s="1" t="n">
        <f aca="false">VLOOKUP(A102, Climate!A:B, 2, FALSE())</f>
        <v>2896</v>
      </c>
      <c r="H102" s="1" t="n">
        <f aca="false">VLOOKUP(A102, English!A:C, 3, FALSE())</f>
        <v>458</v>
      </c>
      <c r="I102" s="1" t="n">
        <f aca="false">VLOOKUP(A102, Openness!A:C, 2, FALSE())</f>
        <v>14</v>
      </c>
      <c r="J102" s="1" t="n">
        <f aca="false">VLOOKUP(A102, Scenic!A:B, 2, FALSE())</f>
        <v>16</v>
      </c>
      <c r="K102" s="1" t="n">
        <f aca="false">VLOOKUP(A102, Disaster!A:H, 4, FALSE())</f>
        <v>10.49</v>
      </c>
      <c r="L102" s="1" t="n">
        <f aca="false">VLOOKUP(A102, LifeExp60!A:B, 2, FALSE())</f>
        <v>18.153</v>
      </c>
    </row>
    <row r="103" customFormat="false" ht="15.75" hidden="false" customHeight="true" outlineLevel="0" collapsed="false">
      <c r="A103" s="1" t="s">
        <v>113</v>
      </c>
      <c r="B103" s="1" t="n">
        <f aca="false">VLOOKUP(A103, Sheet1!A:B, 2, FALSE())</f>
        <v>28</v>
      </c>
      <c r="C103" s="1" t="n">
        <f aca="false">VLOOKUP(A103, Safety!A:B, 2, FALSE())</f>
        <v>60.9495036542798</v>
      </c>
      <c r="D103" s="1" t="e">
        <f aca="false">VLOOKUP(A103, Health!A:B, 2, FALSE())</f>
        <v>#N/A</v>
      </c>
      <c r="E103" s="1" t="n">
        <f aca="false">VLOOKUP(A103, Political!A:H, 8, FALSE())</f>
        <v>40.9633333333333</v>
      </c>
      <c r="F103" s="1" t="n">
        <f aca="false">VLOOKUP(A103, Pollution!A:B, 2, FALSE())</f>
        <v>9.45</v>
      </c>
      <c r="G103" s="1" t="e">
        <f aca="false">VLOOKUP(A103, Climate!A:B, 2, FALSE())</f>
        <v>#N/A</v>
      </c>
      <c r="H103" s="1" t="n">
        <f aca="false">VLOOKUP(A103, English!A:C, 3, FALSE())</f>
        <v>515</v>
      </c>
      <c r="I103" s="1" t="e">
        <f aca="false">VLOOKUP(A103, Openness!A:C, 2, FALSE())</f>
        <v>#N/A</v>
      </c>
      <c r="J103" s="1" t="e">
        <f aca="false">VLOOKUP(A103, Scenic!A:B, 2, FALSE())</f>
        <v>#N/A</v>
      </c>
      <c r="K103" s="1" t="n">
        <f aca="false">VLOOKUP(A103, Disaster!A:H, 4, FALSE())</f>
        <v>3.45</v>
      </c>
      <c r="L103" s="1" t="n">
        <f aca="false">VLOOKUP(A103, LifeExp60!A:B, 2, FALSE())</f>
        <v>23.589</v>
      </c>
    </row>
    <row r="104" customFormat="false" ht="15.75" hidden="false" customHeight="true" outlineLevel="0" collapsed="false">
      <c r="A104" s="1" t="s">
        <v>114</v>
      </c>
      <c r="B104" s="1" t="n">
        <f aca="false">VLOOKUP(A104, Sheet1!A:B, 2, FALSE())</f>
        <v>122.1</v>
      </c>
      <c r="C104" s="1" t="n">
        <f aca="false">VLOOKUP(A104, Safety!A:B, 2, FALSE())</f>
        <v>54.6545235885893</v>
      </c>
      <c r="D104" s="1" t="e">
        <f aca="false">VLOOKUP(A104, Health!A:B, 2, FALSE())</f>
        <v>#N/A</v>
      </c>
      <c r="E104" s="1" t="n">
        <f aca="false">VLOOKUP(A104, Political!A:H, 8, FALSE())</f>
        <v>75.348</v>
      </c>
      <c r="F104" s="1" t="n">
        <f aca="false">VLOOKUP(A104, Pollution!A:B, 2, FALSE())</f>
        <v>4.63</v>
      </c>
      <c r="G104" s="1" t="e">
        <f aca="false">VLOOKUP(A104, Climate!A:B, 2, FALSE())</f>
        <v>#N/A</v>
      </c>
      <c r="H104" s="1" t="e">
        <f aca="false">VLOOKUP(A104, English!A:C, 3, FALSE())</f>
        <v>#N/A</v>
      </c>
      <c r="I104" s="1" t="e">
        <f aca="false">VLOOKUP(A104, Openness!A:C, 2, FALSE())</f>
        <v>#N/A</v>
      </c>
      <c r="J104" s="1" t="e">
        <f aca="false">VLOOKUP(A104, Scenic!A:B, 2, FALSE())</f>
        <v>#N/A</v>
      </c>
      <c r="K104" s="1" t="e">
        <f aca="false">VLOOKUP(A104, Disaster!A:H, 4, FALSE())</f>
        <v>#N/A</v>
      </c>
      <c r="L104" s="1" t="n">
        <f aca="false">VLOOKUP(A104, LifeExp60!A:B, 2, FALSE())</f>
        <v>27.86</v>
      </c>
    </row>
    <row r="105" customFormat="false" ht="15.75" hidden="false" customHeight="true" outlineLevel="0" collapsed="false">
      <c r="A105" s="1" t="s">
        <v>115</v>
      </c>
      <c r="B105" s="1" t="n">
        <f aca="false">VLOOKUP(A105, Sheet1!A:B, 2, FALSE())</f>
        <v>99</v>
      </c>
      <c r="C105" s="1" t="n">
        <f aca="false">VLOOKUP(A105, Safety!A:B, 2, FALSE())</f>
        <v>61.3529497747561</v>
      </c>
      <c r="D105" s="1" t="e">
        <f aca="false">VLOOKUP(A105, Health!A:B, 2, FALSE())</f>
        <v>#N/A</v>
      </c>
      <c r="E105" s="1" t="n">
        <f aca="false">VLOOKUP(A105, Political!A:H, 8, FALSE())</f>
        <v>74.3</v>
      </c>
      <c r="F105" s="1" t="e">
        <f aca="false">VLOOKUP(A105, Pollution!A:B, 2, FALSE())</f>
        <v>#N/A</v>
      </c>
      <c r="G105" s="1" t="e">
        <f aca="false">VLOOKUP(A105, Climate!A:B, 2, FALSE())</f>
        <v>#N/A</v>
      </c>
      <c r="H105" s="1" t="e">
        <f aca="false">VLOOKUP(A105, English!A:C, 3, FALSE())</f>
        <v>#N/A</v>
      </c>
      <c r="I105" s="1" t="e">
        <f aca="false">VLOOKUP(A105, Openness!A:C, 2, FALSE())</f>
        <v>#N/A</v>
      </c>
      <c r="J105" s="1" t="e">
        <f aca="false">VLOOKUP(A105, Scenic!A:B, 2, FALSE())</f>
        <v>#N/A</v>
      </c>
      <c r="K105" s="1" t="e">
        <f aca="false">VLOOKUP(A105, Disaster!A:H, 4, FALSE())</f>
        <v>#N/A</v>
      </c>
      <c r="L105" s="1" t="n">
        <f aca="false">VLOOKUP(A105, LifeExp60!A:B, 2, FALSE())</f>
        <v>26.759</v>
      </c>
    </row>
    <row r="106" customFormat="false" ht="15.75" hidden="false" customHeight="true" outlineLevel="0" collapsed="false">
      <c r="A106" s="1" t="s">
        <v>116</v>
      </c>
      <c r="B106" s="1" t="n">
        <f aca="false">VLOOKUP(A106, Sheet1!A:B, 2, FALSE())</f>
        <v>77.2</v>
      </c>
      <c r="C106" s="1" t="n">
        <f aca="false">VLOOKUP(A106, Safety!A:B, 2, FALSE())</f>
        <v>19.4498748421739</v>
      </c>
      <c r="D106" s="1" t="e">
        <f aca="false">VLOOKUP(A106, Health!A:B, 2, FALSE())</f>
        <v>#N/A</v>
      </c>
      <c r="E106" s="1" t="n">
        <f aca="false">VLOOKUP(A106, Political!A:H, 8, FALSE())</f>
        <v>67.32</v>
      </c>
      <c r="F106" s="1" t="n">
        <f aca="false">VLOOKUP(A106, Pollution!A:B, 2, FALSE())</f>
        <v>5.28</v>
      </c>
      <c r="G106" s="1" t="e">
        <f aca="false">VLOOKUP(A106, Climate!A:B, 2, FALSE())</f>
        <v>#N/A</v>
      </c>
      <c r="H106" s="1" t="e">
        <f aca="false">VLOOKUP(A106, English!A:C, 3, FALSE())</f>
        <v>#N/A</v>
      </c>
      <c r="I106" s="1" t="e">
        <f aca="false">VLOOKUP(A106, Openness!A:C, 2, FALSE())</f>
        <v>#N/A</v>
      </c>
      <c r="J106" s="1" t="e">
        <f aca="false">VLOOKUP(A106, Scenic!A:B, 2, FALSE())</f>
        <v>#N/A</v>
      </c>
      <c r="K106" s="1" t="n">
        <f aca="false">VLOOKUP(A106, Disaster!A:H, 4, FALSE())</f>
        <v>1.18</v>
      </c>
      <c r="L106" s="1" t="n">
        <f aca="false">VLOOKUP(A106, LifeExp60!A:B, 2, FALSE())</f>
        <v>23.896</v>
      </c>
    </row>
    <row r="107" customFormat="false" ht="15.75" hidden="false" customHeight="true" outlineLevel="0" collapsed="false">
      <c r="A107" s="1" t="s">
        <v>117</v>
      </c>
      <c r="B107" s="1" t="n">
        <f aca="false">VLOOKUP(A107, Sheet1!A:B, 2, FALSE())</f>
        <v>71.6</v>
      </c>
      <c r="C107" s="1" t="n">
        <f aca="false">VLOOKUP(A107, Safety!A:B, 2, FALSE())</f>
        <v>100</v>
      </c>
      <c r="D107" s="1" t="e">
        <f aca="false">VLOOKUP(A107, Health!A:B, 2, FALSE())</f>
        <v>#N/A</v>
      </c>
      <c r="E107" s="1" t="n">
        <f aca="false">VLOOKUP(A107, Political!A:H, 8, FALSE())</f>
        <v>80.285</v>
      </c>
      <c r="F107" s="1" t="e">
        <f aca="false">VLOOKUP(A107, Pollution!A:B, 2, FALSE())</f>
        <v>#N/A</v>
      </c>
      <c r="G107" s="1" t="e">
        <f aca="false">VLOOKUP(A107, Climate!A:B, 2, FALSE())</f>
        <v>#N/A</v>
      </c>
      <c r="H107" s="1" t="e">
        <f aca="false">VLOOKUP(A107, English!A:C, 3, FALSE())</f>
        <v>#N/A</v>
      </c>
      <c r="I107" s="1" t="e">
        <f aca="false">VLOOKUP(A107, Openness!A:C, 2, FALSE())</f>
        <v>#N/A</v>
      </c>
      <c r="J107" s="1" t="e">
        <f aca="false">VLOOKUP(A107, Scenic!A:B, 2, FALSE())</f>
        <v>#N/A</v>
      </c>
      <c r="K107" s="1" t="e">
        <f aca="false">VLOOKUP(A107, Disaster!A:H, 4, FALSE())</f>
        <v>#N/A</v>
      </c>
      <c r="L107" s="1" t="e">
        <f aca="false">VLOOKUP(A107, LifeExp60!A:B, 2, FALSE())</f>
        <v>#N/A</v>
      </c>
    </row>
    <row r="108" customFormat="false" ht="15.75" hidden="false" customHeight="true" outlineLevel="0" collapsed="false">
      <c r="A108" s="1" t="s">
        <v>118</v>
      </c>
      <c r="B108" s="1" t="n">
        <f aca="false">VLOOKUP(A108, Sheet1!A:B, 2, FALSE())</f>
        <v>66.1</v>
      </c>
      <c r="C108" s="1" t="n">
        <f aca="false">VLOOKUP(A108, Safety!A:B, 2, FALSE())</f>
        <v>83.8986022477399</v>
      </c>
      <c r="D108" s="1" t="e">
        <f aca="false">VLOOKUP(A108, Health!A:B, 2, FALSE())</f>
        <v>#N/A</v>
      </c>
      <c r="E108" s="1" t="n">
        <f aca="false">VLOOKUP(A108, Political!A:H, 8, FALSE())</f>
        <v>33.23</v>
      </c>
      <c r="F108" s="1" t="n">
        <f aca="false">VLOOKUP(A108, Pollution!A:B, 2, FALSE())</f>
        <v>31.25</v>
      </c>
      <c r="G108" s="1" t="e">
        <f aca="false">VLOOKUP(A108, Climate!A:B, 2, FALSE())</f>
        <v>#N/A</v>
      </c>
      <c r="H108" s="1" t="n">
        <f aca="false">VLOOKUP(A108, English!A:C, 3, FALSE())</f>
        <v>456</v>
      </c>
      <c r="I108" s="1" t="e">
        <f aca="false">VLOOKUP(A108, Openness!A:C, 2, FALSE())</f>
        <v>#N/A</v>
      </c>
      <c r="J108" s="1" t="e">
        <f aca="false">VLOOKUP(A108, Scenic!A:B, 2, FALSE())</f>
        <v>#N/A</v>
      </c>
      <c r="K108" s="1" t="n">
        <f aca="false">VLOOKUP(A108, Disaster!A:H, 4, FALSE())</f>
        <v>0.17</v>
      </c>
      <c r="L108" s="1" t="n">
        <f aca="false">VLOOKUP(A108, LifeExp60!A:B, 2, FALSE())</f>
        <v>18.857</v>
      </c>
    </row>
    <row r="109" customFormat="false" ht="15.75" hidden="false" customHeight="true" outlineLevel="0" collapsed="false">
      <c r="A109" s="1" t="s">
        <v>119</v>
      </c>
      <c r="B109" s="1" t="n">
        <f aca="false">VLOOKUP(A109, Sheet1!A:B, 2, FALSE())</f>
        <v>65.7</v>
      </c>
      <c r="C109" s="1" t="n">
        <f aca="false">VLOOKUP(A109, Safety!A:B, 2, FALSE())</f>
        <v>64.2434461261427</v>
      </c>
      <c r="D109" s="1" t="e">
        <f aca="false">VLOOKUP(A109, Health!A:B, 2, FALSE())</f>
        <v>#N/A</v>
      </c>
      <c r="E109" s="1" t="n">
        <f aca="false">VLOOKUP(A109, Political!A:H, 8, FALSE())</f>
        <v>54.7533333333333</v>
      </c>
      <c r="F109" s="1" t="n">
        <f aca="false">VLOOKUP(A109, Pollution!A:B, 2, FALSE())</f>
        <v>9.77</v>
      </c>
      <c r="G109" s="1" t="e">
        <f aca="false">VLOOKUP(A109, Climate!A:B, 2, FALSE())</f>
        <v>#N/A</v>
      </c>
      <c r="H109" s="1" t="e">
        <f aca="false">VLOOKUP(A109, English!A:C, 3, FALSE())</f>
        <v>#N/A</v>
      </c>
      <c r="I109" s="1" t="e">
        <f aca="false">VLOOKUP(A109, Openness!A:C, 2, FALSE())</f>
        <v>#N/A</v>
      </c>
      <c r="J109" s="1" t="e">
        <f aca="false">VLOOKUP(A109, Scenic!A:B, 2, FALSE())</f>
        <v>#N/A</v>
      </c>
      <c r="K109" s="1" t="n">
        <f aca="false">VLOOKUP(A109, Disaster!A:H, 4, FALSE())</f>
        <v>9.94</v>
      </c>
      <c r="L109" s="1" t="n">
        <f aca="false">VLOOKUP(A109, LifeExp60!A:B, 2, FALSE())</f>
        <v>18.17</v>
      </c>
    </row>
    <row r="110" customFormat="false" ht="15.75" hidden="false" customHeight="true" outlineLevel="0" collapsed="false">
      <c r="A110" s="1" t="s">
        <v>120</v>
      </c>
      <c r="B110" s="1" t="n">
        <f aca="false">VLOOKUP(A110, Sheet1!A:B, 2, FALSE())</f>
        <v>64.5</v>
      </c>
      <c r="C110" s="1" t="n">
        <f aca="false">VLOOKUP(A110, Safety!A:B, 2, FALSE())</f>
        <v>100</v>
      </c>
      <c r="D110" s="1" t="e">
        <f aca="false">VLOOKUP(A110, Health!A:B, 2, FALSE())</f>
        <v>#N/A</v>
      </c>
      <c r="E110" s="1" t="e">
        <f aca="false">VLOOKUP(A110, Political!A:H, 8, FALSE())</f>
        <v>#N/A</v>
      </c>
      <c r="F110" s="1" t="e">
        <f aca="false">VLOOKUP(A110, Pollution!A:B, 2, FALSE())</f>
        <v>#N/A</v>
      </c>
      <c r="G110" s="1" t="e">
        <f aca="false">VLOOKUP(A110, Climate!A:B, 2, FALSE())</f>
        <v>#N/A</v>
      </c>
      <c r="H110" s="1" t="e">
        <f aca="false">VLOOKUP(A110, English!A:C, 3, FALSE())</f>
        <v>#N/A</v>
      </c>
      <c r="I110" s="1" t="e">
        <f aca="false">VLOOKUP(A110, Openness!A:C, 2, FALSE())</f>
        <v>#N/A</v>
      </c>
      <c r="J110" s="1" t="e">
        <f aca="false">VLOOKUP(A110, Scenic!A:B, 2, FALSE())</f>
        <v>#N/A</v>
      </c>
      <c r="K110" s="1" t="e">
        <f aca="false">VLOOKUP(A110, Disaster!A:H, 4, FALSE())</f>
        <v>#N/A</v>
      </c>
      <c r="L110" s="1" t="e">
        <f aca="false">VLOOKUP(A110, LifeExp60!A:B, 2, FALSE())</f>
        <v>#N/A</v>
      </c>
    </row>
    <row r="111" customFormat="false" ht="15.75" hidden="false" customHeight="true" outlineLevel="0" collapsed="false">
      <c r="A111" s="1" t="s">
        <v>121</v>
      </c>
      <c r="B111" s="1" t="n">
        <f aca="false">VLOOKUP(A111, Sheet1!A:B, 2, FALSE())</f>
        <v>61.8</v>
      </c>
      <c r="C111" s="1" t="n">
        <f aca="false">VLOOKUP(A111, Safety!A:B, 2, FALSE())</f>
        <v>100</v>
      </c>
      <c r="D111" s="1" t="e">
        <f aca="false">VLOOKUP(A111, Health!A:B, 2, FALSE())</f>
        <v>#N/A</v>
      </c>
      <c r="E111" s="1" t="e">
        <f aca="false">VLOOKUP(A111, Political!A:H, 8, FALSE())</f>
        <v>#N/A</v>
      </c>
      <c r="F111" s="1" t="e">
        <f aca="false">VLOOKUP(A111, Pollution!A:B, 2, FALSE())</f>
        <v>#N/A</v>
      </c>
      <c r="G111" s="1" t="e">
        <f aca="false">VLOOKUP(A111, Climate!A:B, 2, FALSE())</f>
        <v>#N/A</v>
      </c>
      <c r="H111" s="1" t="e">
        <f aca="false">VLOOKUP(A111, English!A:C, 3, FALSE())</f>
        <v>#N/A</v>
      </c>
      <c r="I111" s="1" t="e">
        <f aca="false">VLOOKUP(A111, Openness!A:C, 2, FALSE())</f>
        <v>#N/A</v>
      </c>
      <c r="J111" s="1" t="e">
        <f aca="false">VLOOKUP(A111, Scenic!A:B, 2, FALSE())</f>
        <v>#N/A</v>
      </c>
      <c r="K111" s="1" t="e">
        <f aca="false">VLOOKUP(A111, Disaster!A:H, 4, FALSE())</f>
        <v>#N/A</v>
      </c>
      <c r="L111" s="1" t="n">
        <f aca="false">VLOOKUP(A111, LifeExp60!A:B, 2, FALSE())</f>
        <v>28.572</v>
      </c>
    </row>
    <row r="112" customFormat="false" ht="15.75" hidden="false" customHeight="true" outlineLevel="0" collapsed="false">
      <c r="A112" s="1" t="s">
        <v>122</v>
      </c>
      <c r="B112" s="1" t="n">
        <f aca="false">VLOOKUP(A112, Sheet1!A:B, 2, FALSE())</f>
        <v>56.8</v>
      </c>
      <c r="C112" s="1" t="n">
        <f aca="false">VLOOKUP(A112, Safety!A:B, 2, FALSE())</f>
        <v>100</v>
      </c>
      <c r="D112" s="1" t="e">
        <f aca="false">VLOOKUP(A112, Health!A:B, 2, FALSE())</f>
        <v>#N/A</v>
      </c>
      <c r="E112" s="1" t="e">
        <f aca="false">VLOOKUP(A112, Political!A:H, 8, FALSE())</f>
        <v>#N/A</v>
      </c>
      <c r="F112" s="1" t="e">
        <f aca="false">VLOOKUP(A112, Pollution!A:B, 2, FALSE())</f>
        <v>#N/A</v>
      </c>
      <c r="G112" s="1" t="e">
        <f aca="false">VLOOKUP(A112, Climate!A:B, 2, FALSE())</f>
        <v>#N/A</v>
      </c>
      <c r="H112" s="1" t="e">
        <f aca="false">VLOOKUP(A112, English!A:C, 3, FALSE())</f>
        <v>#N/A</v>
      </c>
      <c r="I112" s="1" t="e">
        <f aca="false">VLOOKUP(A112, Openness!A:C, 2, FALSE())</f>
        <v>#N/A</v>
      </c>
      <c r="J112" s="1" t="e">
        <f aca="false">VLOOKUP(A112, Scenic!A:B, 2, FALSE())</f>
        <v>#N/A</v>
      </c>
      <c r="K112" s="1" t="e">
        <f aca="false">VLOOKUP(A112, Disaster!A:H, 4, FALSE())</f>
        <v>#N/A</v>
      </c>
      <c r="L112" s="1" t="n">
        <f aca="false">VLOOKUP(A112, LifeExp60!A:B, 2, FALSE())</f>
        <v>26.425</v>
      </c>
    </row>
    <row r="113" customFormat="false" ht="15.75" hidden="false" customHeight="true" outlineLevel="0" collapsed="false">
      <c r="A113" s="1" t="s">
        <v>123</v>
      </c>
      <c r="B113" s="1" t="n">
        <f aca="false">VLOOKUP(A113, Sheet1!A:B, 2, FALSE())</f>
        <v>49</v>
      </c>
      <c r="C113" s="1" t="n">
        <f aca="false">VLOOKUP(A113, Safety!A:B, 2, FALSE())</f>
        <v>49.5527924564719</v>
      </c>
      <c r="D113" s="1" t="e">
        <f aca="false">VLOOKUP(A113, Health!A:B, 2, FALSE())</f>
        <v>#N/A</v>
      </c>
      <c r="E113" s="1" t="n">
        <f aca="false">VLOOKUP(A113, Political!A:H, 8, FALSE())</f>
        <v>71.025</v>
      </c>
      <c r="F113" s="1" t="n">
        <f aca="false">VLOOKUP(A113, Pollution!A:B, 2, FALSE())</f>
        <v>9.26</v>
      </c>
      <c r="G113" s="1" t="e">
        <f aca="false">VLOOKUP(A113, Climate!A:B, 2, FALSE())</f>
        <v>#N/A</v>
      </c>
      <c r="H113" s="1" t="e">
        <f aca="false">VLOOKUP(A113, English!A:C, 3, FALSE())</f>
        <v>#N/A</v>
      </c>
      <c r="I113" s="1" t="e">
        <f aca="false">VLOOKUP(A113, Openness!A:C, 2, FALSE())</f>
        <v>#N/A</v>
      </c>
      <c r="J113" s="1" t="e">
        <f aca="false">VLOOKUP(A113, Scenic!A:B, 2, FALSE())</f>
        <v>#N/A</v>
      </c>
      <c r="K113" s="1" t="n">
        <f aca="false">VLOOKUP(A113, Disaster!A:H, 4, FALSE())</f>
        <v>0.51</v>
      </c>
      <c r="L113" s="1" t="n">
        <f aca="false">VLOOKUP(A113, LifeExp60!A:B, 2, FALSE())</f>
        <v>21.121</v>
      </c>
    </row>
    <row r="114" customFormat="false" ht="15.75" hidden="false" customHeight="true" outlineLevel="0" collapsed="false">
      <c r="A114" s="1" t="s">
        <v>124</v>
      </c>
      <c r="B114" s="1" t="n">
        <f aca="false">VLOOKUP(A114, Sheet1!A:B, 2, FALSE())</f>
        <v>47.2</v>
      </c>
      <c r="C114" s="1" t="n">
        <f aca="false">VLOOKUP(A114, Safety!A:B, 2, FALSE())</f>
        <v>89.7731321687406</v>
      </c>
      <c r="D114" s="1" t="e">
        <f aca="false">VLOOKUP(A114, Health!A:B, 2, FALSE())</f>
        <v>#N/A</v>
      </c>
      <c r="E114" s="1" t="n">
        <f aca="false">VLOOKUP(A114, Political!A:H, 8, FALSE())</f>
        <v>70.3433333333333</v>
      </c>
      <c r="F114" s="1" t="e">
        <f aca="false">VLOOKUP(A114, Pollution!A:B, 2, FALSE())</f>
        <v>#N/A</v>
      </c>
      <c r="G114" s="1" t="e">
        <f aca="false">VLOOKUP(A114, Climate!A:B, 2, FALSE())</f>
        <v>#N/A</v>
      </c>
      <c r="H114" s="1" t="e">
        <f aca="false">VLOOKUP(A114, English!A:C, 3, FALSE())</f>
        <v>#N/A</v>
      </c>
      <c r="I114" s="1" t="e">
        <f aca="false">VLOOKUP(A114, Openness!A:C, 2, FALSE())</f>
        <v>#N/A</v>
      </c>
      <c r="J114" s="1" t="e">
        <f aca="false">VLOOKUP(A114, Scenic!A:B, 2, FALSE())</f>
        <v>#N/A</v>
      </c>
      <c r="K114" s="1" t="e">
        <f aca="false">VLOOKUP(A114, Disaster!A:H, 4, FALSE())</f>
        <v>#N/A</v>
      </c>
      <c r="L114" s="1" t="n">
        <f aca="false">VLOOKUP(A114, LifeExp60!A:B, 2, FALSE())</f>
        <v>26.616</v>
      </c>
    </row>
    <row r="115" customFormat="false" ht="15.75" hidden="false" customHeight="true" outlineLevel="0" collapsed="false">
      <c r="A115" s="1" t="s">
        <v>125</v>
      </c>
      <c r="B115" s="1" t="n">
        <f aca="false">VLOOKUP(A115, Sheet1!A:B, 2, FALSE())</f>
        <v>41.2</v>
      </c>
      <c r="C115" s="1" t="e">
        <f aca="false">VLOOKUP(A115, Safety!A:B, 2, FALSE())</f>
        <v>#N/A</v>
      </c>
      <c r="D115" s="1" t="e">
        <f aca="false">VLOOKUP(A115, Health!A:B, 2, FALSE())</f>
        <v>#N/A</v>
      </c>
      <c r="E115" s="1" t="n">
        <f aca="false">VLOOKUP(A115, Political!A:H, 8, FALSE())</f>
        <v>27.3466666666667</v>
      </c>
      <c r="F115" s="1" t="n">
        <f aca="false">VLOOKUP(A115, Pollution!A:B, 2, FALSE())</f>
        <v>35.81</v>
      </c>
      <c r="G115" s="1" t="e">
        <f aca="false">VLOOKUP(A115, Climate!A:B, 2, FALSE())</f>
        <v>#N/A</v>
      </c>
      <c r="H115" s="1" t="n">
        <f aca="false">VLOOKUP(A115, English!A:C, 3, FALSE())</f>
        <v>400</v>
      </c>
      <c r="I115" s="1" t="e">
        <f aca="false">VLOOKUP(A115, Openness!A:C, 2, FALSE())</f>
        <v>#N/A</v>
      </c>
      <c r="J115" s="1" t="e">
        <f aca="false">VLOOKUP(A115, Scenic!A:B, 2, FALSE())</f>
        <v>#N/A</v>
      </c>
      <c r="K115" s="1" t="n">
        <f aca="false">VLOOKUP(A115, Disaster!A:H, 4, FALSE())</f>
        <v>1.69</v>
      </c>
      <c r="L115" s="1" t="n">
        <f aca="false">VLOOKUP(A115, LifeExp60!A:B, 2, FALSE())</f>
        <v>17.717</v>
      </c>
    </row>
    <row r="116" customFormat="false" ht="15.75" hidden="false" customHeight="true" outlineLevel="0" collapsed="false">
      <c r="A116" s="1" t="s">
        <v>126</v>
      </c>
      <c r="B116" s="1" t="n">
        <f aca="false">VLOOKUP(A116, Sheet1!A:B, 2, FALSE())</f>
        <v>40</v>
      </c>
      <c r="C116" s="1" t="n">
        <f aca="false">VLOOKUP(A116, Safety!A:B, 2, FALSE())</f>
        <v>9.82994493485204</v>
      </c>
      <c r="D116" s="1" t="e">
        <f aca="false">VLOOKUP(A116, Health!A:B, 2, FALSE())</f>
        <v>#N/A</v>
      </c>
      <c r="E116" s="1" t="n">
        <f aca="false">VLOOKUP(A116, Political!A:H, 8, FALSE())</f>
        <v>60.0183333333333</v>
      </c>
      <c r="F116" s="1" t="n">
        <f aca="false">VLOOKUP(A116, Pollution!A:B, 2, FALSE())</f>
        <v>21.65</v>
      </c>
      <c r="G116" s="1" t="e">
        <f aca="false">VLOOKUP(A116, Climate!A:B, 2, FALSE())</f>
        <v>#N/A</v>
      </c>
      <c r="H116" s="1" t="e">
        <f aca="false">VLOOKUP(A116, English!A:C, 3, FALSE())</f>
        <v>#N/A</v>
      </c>
      <c r="I116" s="1" t="e">
        <f aca="false">VLOOKUP(A116, Openness!A:C, 2, FALSE())</f>
        <v>#N/A</v>
      </c>
      <c r="J116" s="1" t="e">
        <f aca="false">VLOOKUP(A116, Scenic!A:B, 2, FALSE())</f>
        <v>#N/A</v>
      </c>
      <c r="K116" s="1" t="n">
        <f aca="false">VLOOKUP(A116, Disaster!A:H, 4, FALSE())</f>
        <v>1.04</v>
      </c>
      <c r="L116" s="1" t="n">
        <f aca="false">VLOOKUP(A116, LifeExp60!A:B, 2, FALSE())</f>
        <v>19.301</v>
      </c>
    </row>
    <row r="117" customFormat="false" ht="15.75" hidden="false" customHeight="true" outlineLevel="0" collapsed="false">
      <c r="A117" s="1" t="s">
        <v>127</v>
      </c>
      <c r="B117" s="1" t="n">
        <f aca="false">VLOOKUP(A117, Sheet1!A:B, 2, FALSE())</f>
        <v>39.9</v>
      </c>
      <c r="C117" s="1" t="n">
        <f aca="false">VLOOKUP(A117, Safety!A:B, 2, FALSE())</f>
        <v>30.966686122808</v>
      </c>
      <c r="D117" s="1" t="e">
        <f aca="false">VLOOKUP(A117, Health!A:B, 2, FALSE())</f>
        <v>#N/A</v>
      </c>
      <c r="E117" s="1" t="n">
        <f aca="false">VLOOKUP(A117, Political!A:H, 8, FALSE())</f>
        <v>54.3033333333333</v>
      </c>
      <c r="F117" s="1" t="n">
        <f aca="false">VLOOKUP(A117, Pollution!A:B, 2, FALSE())</f>
        <v>16.95</v>
      </c>
      <c r="G117" s="1" t="e">
        <f aca="false">VLOOKUP(A117, Climate!A:B, 2, FALSE())</f>
        <v>#N/A</v>
      </c>
      <c r="H117" s="1" t="e">
        <f aca="false">VLOOKUP(A117, English!A:C, 3, FALSE())</f>
        <v>#N/A</v>
      </c>
      <c r="I117" s="1" t="e">
        <f aca="false">VLOOKUP(A117, Openness!A:C, 2, FALSE())</f>
        <v>#N/A</v>
      </c>
      <c r="J117" s="1" t="e">
        <f aca="false">VLOOKUP(A117, Scenic!A:B, 2, FALSE())</f>
        <v>#N/A</v>
      </c>
      <c r="K117" s="1" t="n">
        <f aca="false">VLOOKUP(A117, Disaster!A:H, 4, FALSE())</f>
        <v>2.2</v>
      </c>
      <c r="L117" s="1" t="n">
        <f aca="false">VLOOKUP(A117, LifeExp60!A:B, 2, FALSE())</f>
        <v>20.262</v>
      </c>
    </row>
    <row r="118" customFormat="false" ht="15.75" hidden="false" customHeight="true" outlineLevel="0" collapsed="false">
      <c r="A118" s="1" t="s">
        <v>128</v>
      </c>
      <c r="B118" s="1" t="n">
        <f aca="false">VLOOKUP(A118, Sheet1!A:B, 2, FALSE())</f>
        <v>38.7</v>
      </c>
      <c r="C118" s="1" t="n">
        <f aca="false">VLOOKUP(A118, Safety!A:B, 2, FALSE())</f>
        <v>46.2763027062334</v>
      </c>
      <c r="D118" s="1" t="e">
        <f aca="false">VLOOKUP(A118, Health!A:B, 2, FALSE())</f>
        <v>#N/A</v>
      </c>
      <c r="E118" s="1" t="n">
        <f aca="false">VLOOKUP(A118, Political!A:H, 8, FALSE())</f>
        <v>45.6166666666667</v>
      </c>
      <c r="F118" s="1" t="n">
        <f aca="false">VLOOKUP(A118, Pollution!A:B, 2, FALSE())</f>
        <v>14.11</v>
      </c>
      <c r="G118" s="1" t="e">
        <f aca="false">VLOOKUP(A118, Climate!A:B, 2, FALSE())</f>
        <v>#N/A</v>
      </c>
      <c r="H118" s="1" t="e">
        <f aca="false">VLOOKUP(A118, English!A:C, 3, FALSE())</f>
        <v>#N/A</v>
      </c>
      <c r="I118" s="1" t="e">
        <f aca="false">VLOOKUP(A118, Openness!A:C, 2, FALSE())</f>
        <v>#N/A</v>
      </c>
      <c r="J118" s="1" t="e">
        <f aca="false">VLOOKUP(A118, Scenic!A:B, 2, FALSE())</f>
        <v>#N/A</v>
      </c>
      <c r="K118" s="1" t="n">
        <f aca="false">VLOOKUP(A118, Disaster!A:H, 4, FALSE())</f>
        <v>21.2</v>
      </c>
      <c r="L118" s="1" t="n">
        <f aca="false">VLOOKUP(A118, LifeExp60!A:B, 2, FALSE())</f>
        <v>17.795</v>
      </c>
    </row>
    <row r="119" customFormat="false" ht="15.75" hidden="false" customHeight="true" outlineLevel="0" collapsed="false">
      <c r="A119" s="1" t="s">
        <v>129</v>
      </c>
      <c r="B119" s="1" t="n">
        <f aca="false">VLOOKUP(A119, Sheet1!A:B, 2, FALSE())</f>
        <v>37.5</v>
      </c>
      <c r="C119" s="1" t="n">
        <f aca="false">VLOOKUP(A119, Safety!A:B, 2, FALSE())</f>
        <v>88.9762726526608</v>
      </c>
      <c r="D119" s="1" t="e">
        <f aca="false">VLOOKUP(A119, Health!A:B, 2, FALSE())</f>
        <v>#N/A</v>
      </c>
      <c r="E119" s="1" t="n">
        <f aca="false">VLOOKUP(A119, Political!A:H, 8, FALSE())</f>
        <v>52.0183333333333</v>
      </c>
      <c r="F119" s="1" t="n">
        <f aca="false">VLOOKUP(A119, Pollution!A:B, 2, FALSE())</f>
        <v>11.16</v>
      </c>
      <c r="G119" s="1" t="e">
        <f aca="false">VLOOKUP(A119, Climate!A:B, 2, FALSE())</f>
        <v>#N/A</v>
      </c>
      <c r="H119" s="1" t="e">
        <f aca="false">VLOOKUP(A119, English!A:C, 3, FALSE())</f>
        <v>#N/A</v>
      </c>
      <c r="I119" s="1" t="e">
        <f aca="false">VLOOKUP(A119, Openness!A:C, 2, FALSE())</f>
        <v>#N/A</v>
      </c>
      <c r="J119" s="1" t="e">
        <f aca="false">VLOOKUP(A119, Scenic!A:B, 2, FALSE())</f>
        <v>#N/A</v>
      </c>
      <c r="K119" s="1" t="n">
        <f aca="false">VLOOKUP(A119, Disaster!A:H, 4, FALSE())</f>
        <v>0.23</v>
      </c>
      <c r="L119" s="1" t="n">
        <f aca="false">VLOOKUP(A119, LifeExp60!A:B, 2, FALSE())</f>
        <v>24.58</v>
      </c>
    </row>
    <row r="120" customFormat="false" ht="15.75" hidden="false" customHeight="true" outlineLevel="0" collapsed="false">
      <c r="A120" s="1" t="s">
        <v>130</v>
      </c>
      <c r="B120" s="1" t="n">
        <f aca="false">VLOOKUP(A120, Sheet1!A:B, 2, FALSE())</f>
        <v>36</v>
      </c>
      <c r="C120" s="1" t="n">
        <f aca="false">VLOOKUP(A120, Safety!A:B, 2, FALSE())</f>
        <v>14.3482516364576</v>
      </c>
      <c r="D120" s="1" t="n">
        <f aca="false">VLOOKUP(A120, Health!A:B, 2, FALSE())</f>
        <v>53.6</v>
      </c>
      <c r="E120" s="1" t="n">
        <f aca="false">VLOOKUP(A120, Political!A:H, 8, FALSE())</f>
        <v>57.535</v>
      </c>
      <c r="F120" s="1" t="n">
        <f aca="false">VLOOKUP(A120, Pollution!A:B, 2, FALSE())</f>
        <v>13.78</v>
      </c>
      <c r="G120" s="1" t="e">
        <f aca="false">VLOOKUP(A120, Climate!A:B, 2, FALSE())</f>
        <v>#N/A</v>
      </c>
      <c r="H120" s="1" t="e">
        <f aca="false">VLOOKUP(A120, English!A:C, 3, FALSE())</f>
        <v>#N/A</v>
      </c>
      <c r="I120" s="1" t="e">
        <f aca="false">VLOOKUP(A120, Openness!A:C, 2, FALSE())</f>
        <v>#N/A</v>
      </c>
      <c r="J120" s="1" t="e">
        <f aca="false">VLOOKUP(A120, Scenic!A:B, 2, FALSE())</f>
        <v>#N/A</v>
      </c>
      <c r="K120" s="1" t="n">
        <f aca="false">VLOOKUP(A120, Disaster!A:H, 4, FALSE())</f>
        <v>1</v>
      </c>
      <c r="L120" s="1" t="n">
        <f aca="false">VLOOKUP(A120, LifeExp60!A:B, 2, FALSE())</f>
        <v>21.54</v>
      </c>
    </row>
    <row r="121" customFormat="false" ht="15.75" hidden="false" customHeight="true" outlineLevel="0" collapsed="false">
      <c r="A121" s="1" t="s">
        <v>131</v>
      </c>
      <c r="B121" s="1" t="n">
        <f aca="false">VLOOKUP(A121, Sheet1!A:B, 2, FALSE())</f>
        <v>35.7</v>
      </c>
      <c r="C121" s="1" t="e">
        <f aca="false">VLOOKUP(A121, Safety!A:B, 2, FALSE())</f>
        <v>#N/A</v>
      </c>
      <c r="D121" s="1" t="e">
        <f aca="false">VLOOKUP(A121, Health!A:B, 2, FALSE())</f>
        <v>#N/A</v>
      </c>
      <c r="E121" s="1" t="n">
        <f aca="false">VLOOKUP(A121, Political!A:H, 8, FALSE())</f>
        <v>56.3883333333333</v>
      </c>
      <c r="F121" s="1" t="n">
        <f aca="false">VLOOKUP(A121, Pollution!A:B, 2, FALSE())</f>
        <v>41.65</v>
      </c>
      <c r="G121" s="1" t="e">
        <f aca="false">VLOOKUP(A121, Climate!A:B, 2, FALSE())</f>
        <v>#N/A</v>
      </c>
      <c r="H121" s="1" t="n">
        <f aca="false">VLOOKUP(A121, English!A:C, 3, FALSE())</f>
        <v>442</v>
      </c>
      <c r="I121" s="1" t="e">
        <f aca="false">VLOOKUP(A121, Openness!A:C, 2, FALSE())</f>
        <v>#N/A</v>
      </c>
      <c r="J121" s="1" t="e">
        <f aca="false">VLOOKUP(A121, Scenic!A:B, 2, FALSE())</f>
        <v>#N/A</v>
      </c>
      <c r="K121" s="1" t="n">
        <f aca="false">VLOOKUP(A121, Disaster!A:H, 4, FALSE())</f>
        <v>1.05</v>
      </c>
      <c r="L121" s="1" t="n">
        <f aca="false">VLOOKUP(A121, LifeExp60!A:B, 2, FALSE())</f>
        <v>18.216</v>
      </c>
    </row>
    <row r="122" customFormat="false" ht="15.75" hidden="false" customHeight="true" outlineLevel="0" collapsed="false">
      <c r="A122" s="1" t="s">
        <v>132</v>
      </c>
      <c r="B122" s="1" t="n">
        <f aca="false">VLOOKUP(A122, Sheet1!A:B, 2, FALSE())</f>
        <v>35</v>
      </c>
      <c r="C122" s="1" t="n">
        <f aca="false">VLOOKUP(A122, Safety!A:B, 2, FALSE())</f>
        <v>72.9287453464478</v>
      </c>
      <c r="D122" s="1" t="n">
        <f aca="false">VLOOKUP(A122, Health!A:B, 2, FALSE())</f>
        <v>63.7</v>
      </c>
      <c r="E122" s="1" t="n">
        <f aca="false">VLOOKUP(A122, Political!A:H, 8, FALSE())</f>
        <v>37.5866666666667</v>
      </c>
      <c r="F122" s="1" t="n">
        <f aca="false">VLOOKUP(A122, Pollution!A:B, 2, FALSE())</f>
        <v>26.69</v>
      </c>
      <c r="G122" s="1" t="e">
        <f aca="false">VLOOKUP(A122, Climate!A:B, 2, FALSE())</f>
        <v>#N/A</v>
      </c>
      <c r="H122" s="1" t="n">
        <f aca="false">VLOOKUP(A122, English!A:C, 3, FALSE())</f>
        <v>477</v>
      </c>
      <c r="I122" s="1" t="e">
        <f aca="false">VLOOKUP(A122, Openness!A:C, 2, FALSE())</f>
        <v>#N/A</v>
      </c>
      <c r="J122" s="1" t="n">
        <f aca="false">VLOOKUP(A122, Scenic!A:B, 2, FALSE())</f>
        <v>73</v>
      </c>
      <c r="K122" s="1" t="n">
        <f aca="false">VLOOKUP(A122, Disaster!A:H, 4, FALSE())</f>
        <v>0.52</v>
      </c>
      <c r="L122" s="1" t="n">
        <f aca="false">VLOOKUP(A122, LifeExp60!A:B, 2, FALSE())</f>
        <v>23.357</v>
      </c>
    </row>
    <row r="123" customFormat="false" ht="15.75" hidden="false" customHeight="true" outlineLevel="0" collapsed="false">
      <c r="A123" s="1" t="s">
        <v>133</v>
      </c>
      <c r="B123" s="1" t="n">
        <f aca="false">VLOOKUP(A123, Sheet1!A:B, 2, FALSE())</f>
        <v>34.7</v>
      </c>
      <c r="C123" s="1" t="e">
        <f aca="false">VLOOKUP(A123, Safety!A:B, 2, FALSE())</f>
        <v>#N/A</v>
      </c>
      <c r="D123" s="1" t="e">
        <f aca="false">VLOOKUP(A123, Health!A:B, 2, FALSE())</f>
        <v>#N/A</v>
      </c>
      <c r="E123" s="1" t="n">
        <f aca="false">VLOOKUP(A123, Political!A:H, 8, FALSE())</f>
        <v>48.8583333333333</v>
      </c>
      <c r="F123" s="1" t="n">
        <f aca="false">VLOOKUP(A123, Pollution!A:B, 2, FALSE())</f>
        <v>20.39</v>
      </c>
      <c r="G123" s="1" t="e">
        <f aca="false">VLOOKUP(A123, Climate!A:B, 2, FALSE())</f>
        <v>#N/A</v>
      </c>
      <c r="H123" s="1" t="n">
        <f aca="false">VLOOKUP(A123, English!A:C, 3, FALSE())</f>
        <v>393</v>
      </c>
      <c r="I123" s="1" t="e">
        <f aca="false">VLOOKUP(A123, Openness!A:C, 2, FALSE())</f>
        <v>#N/A</v>
      </c>
      <c r="J123" s="1" t="e">
        <f aca="false">VLOOKUP(A123, Scenic!A:B, 2, FALSE())</f>
        <v>#N/A</v>
      </c>
      <c r="K123" s="1" t="n">
        <f aca="false">VLOOKUP(A123, Disaster!A:H, 4, FALSE())</f>
        <v>0.31</v>
      </c>
      <c r="L123" s="1" t="n">
        <f aca="false">VLOOKUP(A123, LifeExp60!A:B, 2, FALSE())</f>
        <v>17.19</v>
      </c>
    </row>
    <row r="124" customFormat="false" ht="15.75" hidden="false" customHeight="true" outlineLevel="0" collapsed="false">
      <c r="A124" s="1" t="s">
        <v>134</v>
      </c>
      <c r="B124" s="1" t="n">
        <f aca="false">VLOOKUP(A124, Sheet1!A:B, 2, FALSE())</f>
        <v>33.8</v>
      </c>
      <c r="C124" s="1" t="n">
        <f aca="false">VLOOKUP(A124, Safety!A:B, 2, FALSE())</f>
        <v>55.8808900050681</v>
      </c>
      <c r="D124" s="1" t="e">
        <f aca="false">VLOOKUP(A124, Health!A:B, 2, FALSE())</f>
        <v>#N/A</v>
      </c>
      <c r="E124" s="1" t="n">
        <f aca="false">VLOOKUP(A124, Political!A:H, 8, FALSE())</f>
        <v>22.06</v>
      </c>
      <c r="F124" s="1" t="n">
        <f aca="false">VLOOKUP(A124, Pollution!A:B, 2, FALSE())</f>
        <v>46.84</v>
      </c>
      <c r="G124" s="1" t="e">
        <f aca="false">VLOOKUP(A124, Climate!A:B, 2, FALSE())</f>
        <v>#N/A</v>
      </c>
      <c r="H124" s="1" t="n">
        <f aca="false">VLOOKUP(A124, English!A:C, 3, FALSE())</f>
        <v>402</v>
      </c>
      <c r="I124" s="1" t="e">
        <f aca="false">VLOOKUP(A124, Openness!A:C, 2, FALSE())</f>
        <v>#N/A</v>
      </c>
      <c r="J124" s="1" t="e">
        <f aca="false">VLOOKUP(A124, Scenic!A:B, 2, FALSE())</f>
        <v>#N/A</v>
      </c>
      <c r="K124" s="1" t="n">
        <f aca="false">VLOOKUP(A124, Disaster!A:H, 4, FALSE())</f>
        <v>9.36</v>
      </c>
      <c r="L124" s="1" t="n">
        <f aca="false">VLOOKUP(A124, LifeExp60!A:B, 2, FALSE())</f>
        <v>18.532</v>
      </c>
    </row>
    <row r="125" customFormat="false" ht="15.75" hidden="false" customHeight="true" outlineLevel="0" collapsed="false">
      <c r="A125" s="1" t="s">
        <v>135</v>
      </c>
      <c r="B125" s="1" t="n">
        <f aca="false">VLOOKUP(A125, Sheet1!A:B, 2, FALSE())</f>
        <v>33.4</v>
      </c>
      <c r="C125" s="1" t="n">
        <f aca="false">VLOOKUP(A125, Safety!A:B, 2, FALSE())</f>
        <v>90.8907842736498</v>
      </c>
      <c r="D125" s="1" t="e">
        <f aca="false">VLOOKUP(A125, Health!A:B, 2, FALSE())</f>
        <v>#N/A</v>
      </c>
      <c r="E125" s="1" t="n">
        <f aca="false">VLOOKUP(A125, Political!A:H, 8, FALSE())</f>
        <v>68.7633333333333</v>
      </c>
      <c r="F125" s="1" t="n">
        <f aca="false">VLOOKUP(A125, Pollution!A:B, 2, FALSE())</f>
        <v>7.57</v>
      </c>
      <c r="G125" s="1" t="e">
        <f aca="false">VLOOKUP(A125, Climate!A:B, 2, FALSE())</f>
        <v>#N/A</v>
      </c>
      <c r="H125" s="1" t="e">
        <f aca="false">VLOOKUP(A125, English!A:C, 3, FALSE())</f>
        <v>#N/A</v>
      </c>
      <c r="I125" s="1" t="e">
        <f aca="false">VLOOKUP(A125, Openness!A:C, 2, FALSE())</f>
        <v>#N/A</v>
      </c>
      <c r="J125" s="1" t="e">
        <f aca="false">VLOOKUP(A125, Scenic!A:B, 2, FALSE())</f>
        <v>#N/A</v>
      </c>
      <c r="K125" s="1" t="n">
        <f aca="false">VLOOKUP(A125, Disaster!A:H, 4, FALSE())</f>
        <v>0.99</v>
      </c>
      <c r="L125" s="1" t="n">
        <f aca="false">VLOOKUP(A125, LifeExp60!A:B, 2, FALSE())</f>
        <v>21.678</v>
      </c>
    </row>
    <row r="126" customFormat="false" ht="15.75" hidden="false" customHeight="true" outlineLevel="0" collapsed="false">
      <c r="A126" s="1" t="s">
        <v>136</v>
      </c>
      <c r="B126" s="1" t="n">
        <f aca="false">VLOOKUP(A126, Sheet1!A:B, 2, FALSE())</f>
        <v>33.2</v>
      </c>
      <c r="C126" s="1" t="n">
        <f aca="false">VLOOKUP(A126, Safety!A:B, 2, FALSE())</f>
        <v>26.5631656842019</v>
      </c>
      <c r="D126" s="1" t="n">
        <f aca="false">VLOOKUP(A126, Health!A:B, 2, FALSE())</f>
        <v>67.2</v>
      </c>
      <c r="E126" s="1" t="n">
        <f aca="false">VLOOKUP(A126, Political!A:H, 8, FALSE())</f>
        <v>45.1033333333333</v>
      </c>
      <c r="F126" s="1" t="n">
        <f aca="false">VLOOKUP(A126, Pollution!A:B, 2, FALSE())</f>
        <v>29.68</v>
      </c>
      <c r="G126" s="1" t="e">
        <f aca="false">VLOOKUP(A126, Climate!A:B, 2, FALSE())</f>
        <v>#N/A</v>
      </c>
      <c r="H126" s="1" t="n">
        <f aca="false">VLOOKUP(A126, English!A:C, 3, FALSE())</f>
        <v>510</v>
      </c>
      <c r="I126" s="1" t="e">
        <f aca="false">VLOOKUP(A126, Openness!A:C, 2, FALSE())</f>
        <v>#N/A</v>
      </c>
      <c r="J126" s="1" t="n">
        <f aca="false">VLOOKUP(A126, Scenic!A:B, 2, FALSE())</f>
        <v>59</v>
      </c>
      <c r="K126" s="1" t="n">
        <f aca="false">VLOOKUP(A126, Disaster!A:H, 4, FALSE())</f>
        <v>15.42</v>
      </c>
      <c r="L126" s="1" t="n">
        <f aca="false">VLOOKUP(A126, LifeExp60!A:B, 2, FALSE())</f>
        <v>20.764</v>
      </c>
    </row>
    <row r="127" customFormat="false" ht="15.75" hidden="false" customHeight="true" outlineLevel="0" collapsed="false">
      <c r="A127" s="1" t="s">
        <v>137</v>
      </c>
      <c r="B127" s="1" t="n">
        <f aca="false">VLOOKUP(A127, Sheet1!A:B, 2, FALSE())</f>
        <v>33.1</v>
      </c>
      <c r="C127" s="1" t="n">
        <f aca="false">VLOOKUP(A127, Safety!A:B, 2, FALSE())</f>
        <v>22.5131068639996</v>
      </c>
      <c r="D127" s="1" t="e">
        <f aca="false">VLOOKUP(A127, Health!A:B, 2, FALSE())</f>
        <v>#N/A</v>
      </c>
      <c r="E127" s="1" t="n">
        <f aca="false">VLOOKUP(A127, Political!A:H, 8, FALSE())</f>
        <v>55.615</v>
      </c>
      <c r="F127" s="1" t="n">
        <f aca="false">VLOOKUP(A127, Pollution!A:B, 2, FALSE())</f>
        <v>16.76</v>
      </c>
      <c r="G127" s="1" t="e">
        <f aca="false">VLOOKUP(A127, Climate!A:B, 2, FALSE())</f>
        <v>#N/A</v>
      </c>
      <c r="H127" s="1" t="e">
        <f aca="false">VLOOKUP(A127, English!A:C, 3, FALSE())</f>
        <v>#N/A</v>
      </c>
      <c r="I127" s="1" t="e">
        <f aca="false">VLOOKUP(A127, Openness!A:C, 2, FALSE())</f>
        <v>#N/A</v>
      </c>
      <c r="J127" s="1" t="e">
        <f aca="false">VLOOKUP(A127, Scenic!A:B, 2, FALSE())</f>
        <v>#N/A</v>
      </c>
      <c r="K127" s="1" t="n">
        <f aca="false">VLOOKUP(A127, Disaster!A:H, 4, FALSE())</f>
        <v>1.4</v>
      </c>
      <c r="L127" s="1" t="n">
        <f aca="false">VLOOKUP(A127, LifeExp60!A:B, 2, FALSE())</f>
        <v>20.853</v>
      </c>
    </row>
    <row r="128" customFormat="false" ht="15.75" hidden="false" customHeight="true" outlineLevel="0" collapsed="false">
      <c r="A128" s="1" t="s">
        <v>138</v>
      </c>
      <c r="B128" s="1" t="n">
        <f aca="false">VLOOKUP(A128, Sheet1!A:B, 2, FALSE())</f>
        <v>30.2</v>
      </c>
      <c r="C128" s="1" t="n">
        <f aca="false">VLOOKUP(A128, Safety!A:B, 2, FALSE())</f>
        <v>49.7304434278176</v>
      </c>
      <c r="D128" s="1" t="e">
        <f aca="false">VLOOKUP(A128, Health!A:B, 2, FALSE())</f>
        <v>#N/A</v>
      </c>
      <c r="E128" s="1" t="n">
        <f aca="false">VLOOKUP(A128, Political!A:H, 8, FALSE())</f>
        <v>49.3566666666667</v>
      </c>
      <c r="F128" s="1" t="n">
        <f aca="false">VLOOKUP(A128, Pollution!A:B, 2, FALSE())</f>
        <v>29.59</v>
      </c>
      <c r="G128" s="1" t="e">
        <f aca="false">VLOOKUP(A128, Climate!A:B, 2, FALSE())</f>
        <v>#N/A</v>
      </c>
      <c r="H128" s="1" t="n">
        <f aca="false">VLOOKUP(A128, English!A:C, 3, FALSE())</f>
        <v>523</v>
      </c>
      <c r="I128" s="1" t="e">
        <f aca="false">VLOOKUP(A128, Openness!A:C, 2, FALSE())</f>
        <v>#N/A</v>
      </c>
      <c r="J128" s="1" t="n">
        <f aca="false">VLOOKUP(A128, Scenic!A:B, 2, FALSE())</f>
        <v>61</v>
      </c>
      <c r="K128" s="1" t="n">
        <f aca="false">VLOOKUP(A128, Disaster!A:H, 4, FALSE())</f>
        <v>10.65</v>
      </c>
      <c r="L128" s="1" t="n">
        <f aca="false">VLOOKUP(A128, LifeExp60!A:B, 2, FALSE())</f>
        <v>21.369</v>
      </c>
    </row>
    <row r="129" customFormat="false" ht="15.75" hidden="false" customHeight="true" outlineLevel="0" collapsed="false">
      <c r="A129" s="1" t="s">
        <v>139</v>
      </c>
      <c r="B129" s="1" t="n">
        <f aca="false">VLOOKUP(A129, Sheet1!A:B, 2, FALSE())</f>
        <v>29.6</v>
      </c>
      <c r="C129" s="1" t="n">
        <f aca="false">VLOOKUP(A129, Safety!A:B, 2, FALSE())</f>
        <v>48.1982618770231</v>
      </c>
      <c r="D129" s="1" t="e">
        <f aca="false">VLOOKUP(A129, Health!A:B, 2, FALSE())</f>
        <v>#N/A</v>
      </c>
      <c r="E129" s="1" t="n">
        <f aca="false">VLOOKUP(A129, Political!A:H, 8, FALSE())</f>
        <v>38.9616666666667</v>
      </c>
      <c r="F129" s="1" t="n">
        <f aca="false">VLOOKUP(A129, Pollution!A:B, 2, FALSE())</f>
        <v>23.8</v>
      </c>
      <c r="G129" s="1" t="e">
        <f aca="false">VLOOKUP(A129, Climate!A:B, 2, FALSE())</f>
        <v>#N/A</v>
      </c>
      <c r="H129" s="1" t="n">
        <f aca="false">VLOOKUP(A129, English!A:C, 3, FALSE())</f>
        <v>499</v>
      </c>
      <c r="I129" s="1" t="e">
        <f aca="false">VLOOKUP(A129, Openness!A:C, 2, FALSE())</f>
        <v>#N/A</v>
      </c>
      <c r="J129" s="1" t="e">
        <f aca="false">VLOOKUP(A129, Scenic!A:B, 2, FALSE())</f>
        <v>#N/A</v>
      </c>
      <c r="K129" s="1" t="n">
        <f aca="false">VLOOKUP(A129, Disaster!A:H, 4, FALSE())</f>
        <v>0.36</v>
      </c>
      <c r="L129" s="1" t="n">
        <f aca="false">VLOOKUP(A129, LifeExp60!A:B, 2, FALSE())</f>
        <v>19.398</v>
      </c>
    </row>
    <row r="130" customFormat="false" ht="15.75" hidden="false" customHeight="true" outlineLevel="0" collapsed="false">
      <c r="A130" s="1" t="s">
        <v>140</v>
      </c>
      <c r="B130" s="1" t="n">
        <f aca="false">VLOOKUP(A130, Sheet1!A:B, 2, FALSE())</f>
        <v>28.8</v>
      </c>
      <c r="C130" s="1" t="n">
        <f aca="false">VLOOKUP(A130, Safety!A:B, 2, FALSE())</f>
        <v>53.6031481080892</v>
      </c>
      <c r="D130" s="1" t="e">
        <f aca="false">VLOOKUP(A130, Health!A:B, 2, FALSE())</f>
        <v>#N/A</v>
      </c>
      <c r="E130" s="1" t="n">
        <f aca="false">VLOOKUP(A130, Political!A:H, 8, FALSE())</f>
        <v>54.5883333333333</v>
      </c>
      <c r="F130" s="1" t="n">
        <f aca="false">VLOOKUP(A130, Pollution!A:B, 2, FALSE())</f>
        <v>15.67</v>
      </c>
      <c r="G130" s="1" t="e">
        <f aca="false">VLOOKUP(A130, Climate!A:B, 2, FALSE())</f>
        <v>#N/A</v>
      </c>
      <c r="H130" s="1" t="e">
        <f aca="false">VLOOKUP(A130, English!A:C, 3, FALSE())</f>
        <v>#N/A</v>
      </c>
      <c r="I130" s="1" t="e">
        <f aca="false">VLOOKUP(A130, Openness!A:C, 2, FALSE())</f>
        <v>#N/A</v>
      </c>
      <c r="J130" s="1" t="e">
        <f aca="false">VLOOKUP(A130, Scenic!A:B, 2, FALSE())</f>
        <v>#N/A</v>
      </c>
      <c r="K130" s="1" t="n">
        <f aca="false">VLOOKUP(A130, Disaster!A:H, 4, FALSE())</f>
        <v>1.82</v>
      </c>
      <c r="L130" s="1" t="n">
        <f aca="false">VLOOKUP(A130, LifeExp60!A:B, 2, FALSE())</f>
        <v>22.299</v>
      </c>
    </row>
    <row r="131" customFormat="false" ht="15.75" hidden="false" customHeight="true" outlineLevel="0" collapsed="false">
      <c r="A131" s="1" t="s">
        <v>141</v>
      </c>
      <c r="B131" s="1" t="n">
        <f aca="false">VLOOKUP(A131, Sheet1!A:B, 2, FALSE())</f>
        <v>28.3</v>
      </c>
      <c r="C131" s="1" t="n">
        <f aca="false">VLOOKUP(A131, Safety!A:B, 2, FALSE())</f>
        <v>74.3088180913606</v>
      </c>
      <c r="D131" s="1" t="e">
        <f aca="false">VLOOKUP(A131, Health!A:B, 2, FALSE())</f>
        <v>#N/A</v>
      </c>
      <c r="E131" s="1" t="n">
        <f aca="false">VLOOKUP(A131, Political!A:H, 8, FALSE())</f>
        <v>64.6816666666667</v>
      </c>
      <c r="F131" s="1" t="n">
        <f aca="false">VLOOKUP(A131, Pollution!A:B, 2, FALSE())</f>
        <v>6.45</v>
      </c>
      <c r="G131" s="1" t="e">
        <f aca="false">VLOOKUP(A131, Climate!A:B, 2, FALSE())</f>
        <v>#N/A</v>
      </c>
      <c r="H131" s="1" t="e">
        <f aca="false">VLOOKUP(A131, English!A:C, 3, FALSE())</f>
        <v>#N/A</v>
      </c>
      <c r="I131" s="1" t="e">
        <f aca="false">VLOOKUP(A131, Openness!A:C, 2, FALSE())</f>
        <v>#N/A</v>
      </c>
      <c r="J131" s="1" t="e">
        <f aca="false">VLOOKUP(A131, Scenic!A:B, 2, FALSE())</f>
        <v>#N/A</v>
      </c>
      <c r="K131" s="1" t="n">
        <f aca="false">VLOOKUP(A131, Disaster!A:H, 4, FALSE())</f>
        <v>2.83</v>
      </c>
      <c r="L131" s="1" t="n">
        <f aca="false">VLOOKUP(A131, LifeExp60!A:B, 2, FALSE())</f>
        <v>16.221</v>
      </c>
    </row>
    <row r="132" customFormat="false" ht="15.75" hidden="false" customHeight="true" outlineLevel="0" collapsed="false">
      <c r="A132" s="1" t="s">
        <v>142</v>
      </c>
      <c r="B132" s="1" t="n">
        <f aca="false">VLOOKUP(A132, Sheet1!A:B, 2, FALSE())</f>
        <v>28.2</v>
      </c>
      <c r="C132" s="1" t="n">
        <f aca="false">VLOOKUP(A132, Safety!A:B, 2, FALSE())</f>
        <v>52.1914596723148</v>
      </c>
      <c r="D132" s="1" t="e">
        <f aca="false">VLOOKUP(A132, Health!A:B, 2, FALSE())</f>
        <v>#N/A</v>
      </c>
      <c r="E132" s="1" t="n">
        <f aca="false">VLOOKUP(A132, Political!A:H, 8, FALSE())</f>
        <v>67.58</v>
      </c>
      <c r="F132" s="1" t="n">
        <f aca="false">VLOOKUP(A132, Pollution!A:B, 2, FALSE())</f>
        <v>20.19</v>
      </c>
      <c r="G132" s="1" t="e">
        <f aca="false">VLOOKUP(A132, Climate!A:B, 2, FALSE())</f>
        <v>#N/A</v>
      </c>
      <c r="H132" s="1" t="e">
        <f aca="false">VLOOKUP(A132, English!A:C, 3, FALSE())</f>
        <v>#N/A</v>
      </c>
      <c r="I132" s="1" t="e">
        <f aca="false">VLOOKUP(A132, Openness!A:C, 2, FALSE())</f>
        <v>#N/A</v>
      </c>
      <c r="J132" s="1" t="e">
        <f aca="false">VLOOKUP(A132, Scenic!A:B, 2, FALSE())</f>
        <v>#N/A</v>
      </c>
      <c r="K132" s="1" t="n">
        <f aca="false">VLOOKUP(A132, Disaster!A:H, 4, FALSE())</f>
        <v>0.12</v>
      </c>
      <c r="L132" s="1" t="n">
        <f aca="false">VLOOKUP(A132, LifeExp60!A:B, 2, FALSE())</f>
        <v>22.503</v>
      </c>
    </row>
    <row r="133" customFormat="false" ht="15.75" hidden="false" customHeight="true" outlineLevel="0" collapsed="false">
      <c r="A133" s="1" t="s">
        <v>143</v>
      </c>
      <c r="B133" s="1" t="n">
        <f aca="false">VLOOKUP(A133, Sheet1!A:B, 2, FALSE())</f>
        <v>28</v>
      </c>
      <c r="C133" s="1" t="n">
        <f aca="false">VLOOKUP(A133, Safety!A:B, 2, FALSE())</f>
        <v>52.8775811629061</v>
      </c>
      <c r="D133" s="1" t="e">
        <f aca="false">VLOOKUP(A133, Health!A:B, 2, FALSE())</f>
        <v>#N/A</v>
      </c>
      <c r="E133" s="1" t="n">
        <f aca="false">VLOOKUP(A133, Political!A:H, 8, FALSE())</f>
        <v>35.23</v>
      </c>
      <c r="F133" s="1" t="n">
        <f aca="false">VLOOKUP(A133, Pollution!A:B, 2, FALSE())</f>
        <v>55.6</v>
      </c>
      <c r="G133" s="1" t="e">
        <f aca="false">VLOOKUP(A133, Climate!A:B, 2, FALSE())</f>
        <v>#N/A</v>
      </c>
      <c r="H133" s="1" t="n">
        <f aca="false">VLOOKUP(A133, English!A:C, 3, FALSE())</f>
        <v>445</v>
      </c>
      <c r="I133" s="1" t="e">
        <f aca="false">VLOOKUP(A133, Openness!A:C, 2, FALSE())</f>
        <v>#N/A</v>
      </c>
      <c r="J133" s="1" t="n">
        <f aca="false">VLOOKUP(A133, Scenic!A:B, 2, FALSE())</f>
        <v>78</v>
      </c>
      <c r="K133" s="1" t="n">
        <f aca="false">VLOOKUP(A133, Disaster!A:H, 4, FALSE())</f>
        <v>1.66</v>
      </c>
      <c r="L133" s="1" t="n">
        <f aca="false">VLOOKUP(A133, LifeExp60!A:B, 2, FALSE())</f>
        <v>17.297</v>
      </c>
    </row>
    <row r="134" customFormat="false" ht="15.75" hidden="false" customHeight="true" outlineLevel="0" collapsed="false">
      <c r="A134" s="1" t="s">
        <v>144</v>
      </c>
      <c r="B134" s="1" t="n">
        <f aca="false">VLOOKUP(A134, Sheet1!A:B, 2, FALSE())</f>
        <v>27.8</v>
      </c>
      <c r="C134" s="1" t="n">
        <f aca="false">VLOOKUP(A134, Safety!A:B, 2, FALSE())</f>
        <v>58.031666343385</v>
      </c>
      <c r="D134" s="1" t="e">
        <f aca="false">VLOOKUP(A134, Health!A:B, 2, FALSE())</f>
        <v>#N/A</v>
      </c>
      <c r="E134" s="1" t="n">
        <f aca="false">VLOOKUP(A134, Political!A:H, 8, FALSE())</f>
        <v>49.6833333333333</v>
      </c>
      <c r="F134" s="1" t="n">
        <f aca="false">VLOOKUP(A134, Pollution!A:B, 2, FALSE())</f>
        <v>20.24</v>
      </c>
      <c r="G134" s="1" t="e">
        <f aca="false">VLOOKUP(A134, Climate!A:B, 2, FALSE())</f>
        <v>#N/A</v>
      </c>
      <c r="H134" s="1" t="n">
        <f aca="false">VLOOKUP(A134, English!A:C, 3, FALSE())</f>
        <v>573</v>
      </c>
      <c r="I134" s="1" t="e">
        <f aca="false">VLOOKUP(A134, Openness!A:C, 2, FALSE())</f>
        <v>#N/A</v>
      </c>
      <c r="J134" s="1" t="e">
        <f aca="false">VLOOKUP(A134, Scenic!A:B, 2, FALSE())</f>
        <v>#N/A</v>
      </c>
      <c r="K134" s="1" t="n">
        <f aca="false">VLOOKUP(A134, Disaster!A:H, 4, FALSE())</f>
        <v>0.27</v>
      </c>
      <c r="L134" s="1" t="n">
        <f aca="false">VLOOKUP(A134, LifeExp60!A:B, 2, FALSE())</f>
        <v>17.27</v>
      </c>
    </row>
    <row r="135" customFormat="false" ht="15.75" hidden="false" customHeight="true" outlineLevel="0" collapsed="false">
      <c r="A135" s="1" t="s">
        <v>145</v>
      </c>
      <c r="B135" s="1" t="n">
        <f aca="false">VLOOKUP(A135, Sheet1!A:B, 2, FALSE())</f>
        <v>27.3</v>
      </c>
      <c r="C135" s="1" t="n">
        <f aca="false">VLOOKUP(A135, Safety!A:B, 2, FALSE())</f>
        <v>62.539807779552</v>
      </c>
      <c r="D135" s="1" t="e">
        <f aca="false">VLOOKUP(A135, Health!A:B, 2, FALSE())</f>
        <v>#N/A</v>
      </c>
      <c r="E135" s="1" t="n">
        <f aca="false">VLOOKUP(A135, Political!A:H, 8, FALSE())</f>
        <v>42.035</v>
      </c>
      <c r="F135" s="1" t="n">
        <f aca="false">VLOOKUP(A135, Pollution!A:B, 2, FALSE())</f>
        <v>19.91</v>
      </c>
      <c r="G135" s="1" t="e">
        <f aca="false">VLOOKUP(A135, Climate!A:B, 2, FALSE())</f>
        <v>#N/A</v>
      </c>
      <c r="H135" s="1" t="n">
        <f aca="false">VLOOKUP(A135, English!A:C, 3, FALSE())</f>
        <v>413</v>
      </c>
      <c r="I135" s="1" t="e">
        <f aca="false">VLOOKUP(A135, Openness!A:C, 2, FALSE())</f>
        <v>#N/A</v>
      </c>
      <c r="J135" s="1" t="e">
        <f aca="false">VLOOKUP(A135, Scenic!A:B, 2, FALSE())</f>
        <v>#N/A</v>
      </c>
      <c r="K135" s="1" t="n">
        <f aca="false">VLOOKUP(A135, Disaster!A:H, 4, FALSE())</f>
        <v>2.31</v>
      </c>
      <c r="L135" s="1" t="n">
        <f aca="false">VLOOKUP(A135, LifeExp60!A:B, 2, FALSE())</f>
        <v>17.836</v>
      </c>
    </row>
    <row r="136" customFormat="false" ht="15.75" hidden="false" customHeight="true" outlineLevel="0" collapsed="false">
      <c r="A136" s="1" t="s">
        <v>146</v>
      </c>
      <c r="B136" s="1" t="n">
        <f aca="false">VLOOKUP(A136, Sheet1!A:B, 2, FALSE())</f>
        <v>27.2</v>
      </c>
      <c r="C136" s="1" t="n">
        <f aca="false">VLOOKUP(A136, Safety!A:B, 2, FALSE())</f>
        <v>42.4569941553891</v>
      </c>
      <c r="D136" s="1" t="e">
        <f aca="false">VLOOKUP(A136, Health!A:B, 2, FALSE())</f>
        <v>#N/A</v>
      </c>
      <c r="E136" s="1" t="n">
        <f aca="false">VLOOKUP(A136, Political!A:H, 8, FALSE())</f>
        <v>61.695</v>
      </c>
      <c r="F136" s="1" t="n">
        <f aca="false">VLOOKUP(A136, Pollution!A:B, 2, FALSE())</f>
        <v>14.23</v>
      </c>
      <c r="G136" s="1" t="e">
        <f aca="false">VLOOKUP(A136, Climate!A:B, 2, FALSE())</f>
        <v>#N/A</v>
      </c>
      <c r="H136" s="1" t="e">
        <f aca="false">VLOOKUP(A136, English!A:C, 3, FALSE())</f>
        <v>#N/A</v>
      </c>
      <c r="I136" s="1" t="e">
        <f aca="false">VLOOKUP(A136, Openness!A:C, 2, FALSE())</f>
        <v>#N/A</v>
      </c>
      <c r="J136" s="1" t="e">
        <f aca="false">VLOOKUP(A136, Scenic!A:B, 2, FALSE())</f>
        <v>#N/A</v>
      </c>
      <c r="K136" s="1" t="n">
        <f aca="false">VLOOKUP(A136, Disaster!A:H, 4, FALSE())</f>
        <v>1.87</v>
      </c>
      <c r="L136" s="1" t="n">
        <f aca="false">VLOOKUP(A136, LifeExp60!A:B, 2, FALSE())</f>
        <v>19.944</v>
      </c>
    </row>
    <row r="137" customFormat="false" ht="15.75" hidden="false" customHeight="true" outlineLevel="0" collapsed="false">
      <c r="A137" s="1" t="s">
        <v>147</v>
      </c>
      <c r="B137" s="1" t="n">
        <f aca="false">VLOOKUP(A137, Sheet1!A:B, 2, FALSE())</f>
        <v>26.5</v>
      </c>
      <c r="C137" s="1" t="n">
        <f aca="false">VLOOKUP(A137, Safety!A:B, 2, FALSE())</f>
        <v>56.4657459090402</v>
      </c>
      <c r="D137" s="1" t="e">
        <f aca="false">VLOOKUP(A137, Health!A:B, 2, FALSE())</f>
        <v>#N/A</v>
      </c>
      <c r="E137" s="1" t="n">
        <f aca="false">VLOOKUP(A137, Political!A:H, 8, FALSE())</f>
        <v>56.0133333333333</v>
      </c>
      <c r="F137" s="1" t="n">
        <f aca="false">VLOOKUP(A137, Pollution!A:B, 2, FALSE())</f>
        <v>42.69</v>
      </c>
      <c r="G137" s="1" t="e">
        <f aca="false">VLOOKUP(A137, Climate!A:B, 2, FALSE())</f>
        <v>#N/A</v>
      </c>
      <c r="H137" s="1" t="n">
        <f aca="false">VLOOKUP(A137, English!A:C, 3, FALSE())</f>
        <v>447</v>
      </c>
      <c r="I137" s="1" t="e">
        <f aca="false">VLOOKUP(A137, Openness!A:C, 2, FALSE())</f>
        <v>#N/A</v>
      </c>
      <c r="J137" s="1" t="e">
        <f aca="false">VLOOKUP(A137, Scenic!A:B, 2, FALSE())</f>
        <v>#N/A</v>
      </c>
      <c r="K137" s="1" t="n">
        <f aca="false">VLOOKUP(A137, Disaster!A:H, 4, FALSE())</f>
        <v>0.15</v>
      </c>
      <c r="L137" s="1" t="n">
        <f aca="false">VLOOKUP(A137, LifeExp60!A:B, 2, FALSE())</f>
        <v>20.849</v>
      </c>
    </row>
    <row r="138" customFormat="false" ht="15.75" hidden="false" customHeight="true" outlineLevel="0" collapsed="false">
      <c r="A138" s="1" t="s">
        <v>148</v>
      </c>
      <c r="B138" s="1" t="n">
        <f aca="false">VLOOKUP(A138, Sheet1!A:B, 2, FALSE())</f>
        <v>26</v>
      </c>
      <c r="C138" s="1" t="n">
        <f aca="false">VLOOKUP(A138, Safety!A:B, 2, FALSE())</f>
        <v>76.0676301669742</v>
      </c>
      <c r="D138" s="1" t="n">
        <f aca="false">VLOOKUP(A138, Health!A:B, 2, FALSE())</f>
        <v>57.9</v>
      </c>
      <c r="E138" s="1" t="n">
        <f aca="false">VLOOKUP(A138, Political!A:H, 8, FALSE())</f>
        <v>57.2166666666667</v>
      </c>
      <c r="F138" s="1" t="n">
        <f aca="false">VLOOKUP(A138, Pollution!A:B, 2, FALSE())</f>
        <v>28.14</v>
      </c>
      <c r="G138" s="1" t="n">
        <f aca="false">VLOOKUP(A138, Climate!A:B, 2, FALSE())</f>
        <v>1643</v>
      </c>
      <c r="H138" s="1" t="n">
        <f aca="false">VLOOKUP(A138, English!A:C, 3, FALSE())</f>
        <v>540</v>
      </c>
      <c r="I138" s="1" t="e">
        <f aca="false">VLOOKUP(A138, Openness!A:C, 2, FALSE())</f>
        <v>#N/A</v>
      </c>
      <c r="J138" s="1" t="n">
        <f aca="false">VLOOKUP(A138, Scenic!A:B, 2, FALSE())</f>
        <v>81</v>
      </c>
      <c r="K138" s="1" t="n">
        <f aca="false">VLOOKUP(A138, Disaster!A:H, 4, FALSE())</f>
        <v>0.34</v>
      </c>
      <c r="L138" s="1" t="n">
        <f aca="false">VLOOKUP(A138, LifeExp60!A:B, 2, FALSE())</f>
        <v>18.327</v>
      </c>
    </row>
    <row r="139" customFormat="false" ht="15.75" hidden="false" customHeight="true" outlineLevel="0" collapsed="false">
      <c r="A139" s="1" t="s">
        <v>149</v>
      </c>
      <c r="B139" s="1" t="n">
        <f aca="false">VLOOKUP(A139, Sheet1!A:B, 2, FALSE())</f>
        <v>26</v>
      </c>
      <c r="C139" s="1" t="n">
        <f aca="false">VLOOKUP(A139, Safety!A:B, 2, FALSE())</f>
        <v>64.9538643874982</v>
      </c>
      <c r="D139" s="1" t="e">
        <f aca="false">VLOOKUP(A139, Health!A:B, 2, FALSE())</f>
        <v>#N/A</v>
      </c>
      <c r="E139" s="1" t="n">
        <f aca="false">VLOOKUP(A139, Political!A:H, 8, FALSE())</f>
        <v>36.86</v>
      </c>
      <c r="F139" s="1" t="n">
        <f aca="false">VLOOKUP(A139, Pollution!A:B, 2, FALSE())</f>
        <v>13.72</v>
      </c>
      <c r="G139" s="1" t="e">
        <f aca="false">VLOOKUP(A139, Climate!A:B, 2, FALSE())</f>
        <v>#N/A</v>
      </c>
      <c r="H139" s="1" t="n">
        <f aca="false">VLOOKUP(A139, English!A:C, 3, FALSE())</f>
        <v>465</v>
      </c>
      <c r="I139" s="1" t="e">
        <f aca="false">VLOOKUP(A139, Openness!A:C, 2, FALSE())</f>
        <v>#N/A</v>
      </c>
      <c r="J139" s="1" t="e">
        <f aca="false">VLOOKUP(A139, Scenic!A:B, 2, FALSE())</f>
        <v>#N/A</v>
      </c>
      <c r="K139" s="1" t="n">
        <f aca="false">VLOOKUP(A139, Disaster!A:H, 4, FALSE())</f>
        <v>14.69</v>
      </c>
      <c r="L139" s="1" t="n">
        <f aca="false">VLOOKUP(A139, LifeExp60!A:B, 2, FALSE())</f>
        <v>16.828</v>
      </c>
    </row>
    <row r="140" customFormat="false" ht="15.75" hidden="false" customHeight="true" outlineLevel="0" collapsed="false">
      <c r="A140" s="1" t="s">
        <v>150</v>
      </c>
      <c r="B140" s="1" t="n">
        <f aca="false">VLOOKUP(A140, Sheet1!A:B, 2, FALSE())</f>
        <v>25.3</v>
      </c>
      <c r="C140" s="1" t="n">
        <f aca="false">VLOOKUP(A140, Safety!A:B, 2, FALSE())</f>
        <v>19.9796502371581</v>
      </c>
      <c r="D140" s="1" t="e">
        <f aca="false">VLOOKUP(A140, Health!A:B, 2, FALSE())</f>
        <v>#N/A</v>
      </c>
      <c r="E140" s="1" t="n">
        <f aca="false">VLOOKUP(A140, Political!A:H, 8, FALSE())</f>
        <v>42.035</v>
      </c>
      <c r="F140" s="1" t="n">
        <f aca="false">VLOOKUP(A140, Pollution!A:B, 2, FALSE())</f>
        <v>30.72</v>
      </c>
      <c r="G140" s="1" t="e">
        <f aca="false">VLOOKUP(A140, Climate!A:B, 2, FALSE())</f>
        <v>#N/A</v>
      </c>
      <c r="H140" s="1" t="n">
        <f aca="false">VLOOKUP(A140, English!A:C, 3, FALSE())</f>
        <v>553</v>
      </c>
      <c r="I140" s="1" t="e">
        <f aca="false">VLOOKUP(A140, Openness!A:C, 2, FALSE())</f>
        <v>#N/A</v>
      </c>
      <c r="J140" s="1" t="n">
        <f aca="false">VLOOKUP(A140, Scenic!A:B, 2, FALSE())</f>
        <v>67</v>
      </c>
      <c r="K140" s="1" t="n">
        <f aca="false">VLOOKUP(A140, Disaster!A:H, 4, FALSE())</f>
        <v>21.89</v>
      </c>
      <c r="L140" s="1" t="n">
        <f aca="false">VLOOKUP(A140, LifeExp60!A:B, 2, FALSE())</f>
        <v>20.505</v>
      </c>
    </row>
    <row r="141" customFormat="false" ht="15.75" hidden="false" customHeight="true" outlineLevel="0" collapsed="false">
      <c r="A141" s="1" t="s">
        <v>151</v>
      </c>
      <c r="B141" s="1" t="n">
        <f aca="false">VLOOKUP(A141, Sheet1!A:B, 2, FALSE())</f>
        <v>25.1</v>
      </c>
      <c r="C141" s="1" t="n">
        <f aca="false">VLOOKUP(A141, Safety!A:B, 2, FALSE())</f>
        <v>70.7013966824637</v>
      </c>
      <c r="D141" s="1" t="e">
        <f aca="false">VLOOKUP(A141, Health!A:B, 2, FALSE())</f>
        <v>#N/A</v>
      </c>
      <c r="E141" s="1" t="n">
        <f aca="false">VLOOKUP(A141, Political!A:H, 8, FALSE())</f>
        <v>24.7933333333333</v>
      </c>
      <c r="F141" s="1" t="n">
        <f aca="false">VLOOKUP(A141, Pollution!A:B, 2, FALSE())</f>
        <v>35.07</v>
      </c>
      <c r="G141" s="1" t="e">
        <f aca="false">VLOOKUP(A141, Climate!A:B, 2, FALSE())</f>
        <v>#N/A</v>
      </c>
      <c r="H141" s="1" t="n">
        <f aca="false">VLOOKUP(A141, English!A:C, 3, FALSE())</f>
        <v>444</v>
      </c>
      <c r="I141" s="1" t="e">
        <f aca="false">VLOOKUP(A141, Openness!A:C, 2, FALSE())</f>
        <v>#N/A</v>
      </c>
      <c r="J141" s="1" t="n">
        <f aca="false">VLOOKUP(A141, Scenic!A:B, 2, FALSE())</f>
        <v>76</v>
      </c>
      <c r="K141" s="1" t="n">
        <f aca="false">VLOOKUP(A141, Disaster!A:H, 4, FALSE())</f>
        <v>22.44</v>
      </c>
      <c r="L141" s="1" t="n">
        <f aca="false">VLOOKUP(A141, LifeExp60!A:B, 2, FALSE())</f>
        <v>18.023</v>
      </c>
    </row>
    <row r="142" customFormat="false" ht="15.75" hidden="false" customHeight="true" outlineLevel="0" collapsed="false">
      <c r="A142" s="1" t="s">
        <v>152</v>
      </c>
      <c r="B142" s="1" t="n">
        <f aca="false">VLOOKUP(A142, Sheet1!A:B, 2, FALSE())</f>
        <v>23.5</v>
      </c>
      <c r="C142" s="1" t="n">
        <f aca="false">VLOOKUP(A142, Safety!A:B, 2, FALSE())</f>
        <v>76.1571640217828</v>
      </c>
      <c r="D142" s="1" t="n">
        <f aca="false">VLOOKUP(A142, Health!A:B, 2, FALSE())</f>
        <v>51.6</v>
      </c>
      <c r="E142" s="1" t="n">
        <f aca="false">VLOOKUP(A142, Political!A:H, 8, FALSE())</f>
        <v>42.0716666666667</v>
      </c>
      <c r="F142" s="1" t="n">
        <f aca="false">VLOOKUP(A142, Pollution!A:B, 2, FALSE())</f>
        <v>19.43</v>
      </c>
      <c r="G142" s="1" t="e">
        <f aca="false">VLOOKUP(A142, Climate!A:B, 2, FALSE())</f>
        <v>#N/A</v>
      </c>
      <c r="H142" s="1" t="n">
        <f aca="false">VLOOKUP(A142, English!A:C, 3, FALSE())</f>
        <v>390</v>
      </c>
      <c r="I142" s="1" t="e">
        <f aca="false">VLOOKUP(A142, Openness!A:C, 2, FALSE())</f>
        <v>#N/A</v>
      </c>
      <c r="J142" s="1" t="n">
        <f aca="false">VLOOKUP(A142, Scenic!A:B, 2, FALSE())</f>
        <v>57</v>
      </c>
      <c r="K142" s="1" t="n">
        <f aca="false">VLOOKUP(A142, Disaster!A:H, 4, FALSE())</f>
        <v>2.48</v>
      </c>
      <c r="L142" s="1" t="n">
        <f aca="false">VLOOKUP(A142, LifeExp60!A:B, 2, FALSE())</f>
        <v>19.783</v>
      </c>
    </row>
    <row r="143" customFormat="false" ht="15.75" hidden="false" customHeight="true" outlineLevel="0" collapsed="false">
      <c r="A143" s="1" t="s">
        <v>153</v>
      </c>
      <c r="B143" s="1" t="n">
        <f aca="false">VLOOKUP(A143, Sheet1!A:B, 2, FALSE())</f>
        <v>23</v>
      </c>
      <c r="C143" s="1" t="n">
        <f aca="false">VLOOKUP(A143, Safety!A:B, 2, FALSE())</f>
        <v>42.1966194105028</v>
      </c>
      <c r="D143" s="1" t="e">
        <f aca="false">VLOOKUP(A143, Health!A:B, 2, FALSE())</f>
        <v>#N/A</v>
      </c>
      <c r="E143" s="1" t="n">
        <f aca="false">VLOOKUP(A143, Political!A:H, 8, FALSE())</f>
        <v>36.1383333333333</v>
      </c>
      <c r="F143" s="1" t="n">
        <f aca="false">VLOOKUP(A143, Pollution!A:B, 2, FALSE())</f>
        <v>20.42</v>
      </c>
      <c r="G143" s="1" t="e">
        <f aca="false">VLOOKUP(A143, Climate!A:B, 2, FALSE())</f>
        <v>#N/A</v>
      </c>
      <c r="H143" s="1" t="n">
        <f aca="false">VLOOKUP(A143, English!A:C, 3, FALSE())</f>
        <v>512</v>
      </c>
      <c r="I143" s="1" t="e">
        <f aca="false">VLOOKUP(A143, Openness!A:C, 2, FALSE())</f>
        <v>#N/A</v>
      </c>
      <c r="J143" s="1" t="e">
        <f aca="false">VLOOKUP(A143, Scenic!A:B, 2, FALSE())</f>
        <v>#N/A</v>
      </c>
      <c r="K143" s="1" t="n">
        <f aca="false">VLOOKUP(A143, Disaster!A:H, 4, FALSE())</f>
        <v>22.79</v>
      </c>
      <c r="L143" s="1" t="n">
        <f aca="false">VLOOKUP(A143, LifeExp60!A:B, 2, FALSE())</f>
        <v>21.8</v>
      </c>
    </row>
    <row r="144" customFormat="false" ht="15.75" hidden="false" customHeight="true" outlineLevel="0" collapsed="false">
      <c r="A144" s="1" t="s">
        <v>154</v>
      </c>
      <c r="B144" s="1" t="n">
        <f aca="false">VLOOKUP(A144, Sheet1!A:B, 2, FALSE())</f>
        <v>22.3</v>
      </c>
      <c r="C144" s="1" t="n">
        <f aca="false">VLOOKUP(A144, Safety!A:B, 2, FALSE())</f>
        <v>52.8183843156104</v>
      </c>
      <c r="D144" s="1" t="e">
        <f aca="false">VLOOKUP(A144, Health!A:B, 2, FALSE())</f>
        <v>#N/A</v>
      </c>
      <c r="E144" s="1" t="n">
        <f aca="false">VLOOKUP(A144, Political!A:H, 8, FALSE())</f>
        <v>50.3183333333333</v>
      </c>
      <c r="F144" s="1" t="n">
        <f aca="false">VLOOKUP(A144, Pollution!A:B, 2, FALSE())</f>
        <v>15.33</v>
      </c>
      <c r="G144" s="1" t="n">
        <f aca="false">VLOOKUP(A144, Climate!A:B, 2, FALSE())</f>
        <v>2503</v>
      </c>
      <c r="H144" s="1" t="n">
        <f aca="false">VLOOKUP(A144, English!A:C, 3, FALSE())</f>
        <v>531</v>
      </c>
      <c r="I144" s="1" t="e">
        <f aca="false">VLOOKUP(A144, Openness!A:C, 2, FALSE())</f>
        <v>#N/A</v>
      </c>
      <c r="J144" s="1" t="e">
        <f aca="false">VLOOKUP(A144, Scenic!A:B, 2, FALSE())</f>
        <v>#N/A</v>
      </c>
      <c r="K144" s="1" t="n">
        <f aca="false">VLOOKUP(A144, Disaster!A:H, 4, FALSE())</f>
        <v>0.14</v>
      </c>
      <c r="L144" s="1" t="n">
        <f aca="false">VLOOKUP(A144, LifeExp60!A:B, 2, FALSE())</f>
        <v>21.799</v>
      </c>
    </row>
    <row r="145" customFormat="false" ht="15.75" hidden="false" customHeight="true" outlineLevel="0" collapsed="false">
      <c r="A145" s="1" t="s">
        <v>155</v>
      </c>
      <c r="B145" s="1" t="n">
        <f aca="false">VLOOKUP(A145, Sheet1!A:B, 2, FALSE())</f>
        <v>20.9</v>
      </c>
      <c r="C145" s="1" t="n">
        <f aca="false">VLOOKUP(A145, Safety!A:B, 2, FALSE())</f>
        <v>64.8438978283856</v>
      </c>
      <c r="D145" s="1" t="e">
        <f aca="false">VLOOKUP(A145, Health!A:B, 2, FALSE())</f>
        <v>#N/A</v>
      </c>
      <c r="E145" s="1" t="n">
        <f aca="false">VLOOKUP(A145, Political!A:H, 8, FALSE())</f>
        <v>58.7083333333333</v>
      </c>
      <c r="F145" s="1" t="n">
        <f aca="false">VLOOKUP(A145, Pollution!A:B, 2, FALSE())</f>
        <v>36.01</v>
      </c>
      <c r="G145" s="1" t="e">
        <f aca="false">VLOOKUP(A145, Climate!A:B, 2, FALSE())</f>
        <v>#N/A</v>
      </c>
      <c r="H145" s="1" t="n">
        <f aca="false">VLOOKUP(A145, English!A:C, 3, FALSE())</f>
        <v>417</v>
      </c>
      <c r="I145" s="1" t="e">
        <f aca="false">VLOOKUP(A145, Openness!A:C, 2, FALSE())</f>
        <v>#N/A</v>
      </c>
      <c r="J145" s="1" t="e">
        <f aca="false">VLOOKUP(A145, Scenic!A:B, 2, FALSE())</f>
        <v>#N/A</v>
      </c>
      <c r="K145" s="1" t="n">
        <f aca="false">VLOOKUP(A145, Disaster!A:H, 4, FALSE())</f>
        <v>0.15</v>
      </c>
      <c r="L145" s="1" t="n">
        <f aca="false">VLOOKUP(A145, LifeExp60!A:B, 2, FALSE())</f>
        <v>18.193</v>
      </c>
    </row>
    <row r="146" customFormat="false" ht="15.75" hidden="false" customHeight="true" outlineLevel="0" collapsed="false">
      <c r="A146" s="1" t="s">
        <v>156</v>
      </c>
      <c r="B146" s="1" t="n">
        <f aca="false">VLOOKUP(A146, Sheet1!A:B, 2, FALSE())</f>
        <v>19.9</v>
      </c>
      <c r="C146" s="1" t="n">
        <f aca="false">VLOOKUP(A146, Safety!A:B, 2, FALSE())</f>
        <v>42.1575372880479</v>
      </c>
      <c r="D146" s="1" t="e">
        <f aca="false">VLOOKUP(A146, Health!A:B, 2, FALSE())</f>
        <v>#N/A</v>
      </c>
      <c r="E146" s="1" t="n">
        <f aca="false">VLOOKUP(A146, Political!A:H, 8, FALSE())</f>
        <v>65.9216666666667</v>
      </c>
      <c r="F146" s="1" t="n">
        <f aca="false">VLOOKUP(A146, Pollution!A:B, 2, FALSE())</f>
        <v>13.24</v>
      </c>
      <c r="G146" s="1" t="e">
        <f aca="false">VLOOKUP(A146, Climate!A:B, 2, FALSE())</f>
        <v>#N/A</v>
      </c>
      <c r="H146" s="1" t="e">
        <f aca="false">VLOOKUP(A146, English!A:C, 3, FALSE())</f>
        <v>#N/A</v>
      </c>
      <c r="I146" s="1" t="e">
        <f aca="false">VLOOKUP(A146, Openness!A:C, 2, FALSE())</f>
        <v>#N/A</v>
      </c>
      <c r="J146" s="1" t="e">
        <f aca="false">VLOOKUP(A146, Scenic!A:B, 2, FALSE())</f>
        <v>#N/A</v>
      </c>
      <c r="K146" s="1" t="n">
        <f aca="false">VLOOKUP(A146, Disaster!A:H, 4, FALSE())</f>
        <v>0.09</v>
      </c>
      <c r="L146" s="1" t="n">
        <f aca="false">VLOOKUP(A146, LifeExp60!A:B, 2, FALSE())</f>
        <v>19.686</v>
      </c>
    </row>
    <row r="147" customFormat="false" ht="15.75" hidden="false" customHeight="true" outlineLevel="0" collapsed="false">
      <c r="A147" s="1" t="s">
        <v>157</v>
      </c>
      <c r="B147" s="1" t="n">
        <f aca="false">VLOOKUP(A147, Sheet1!A:B, 2, FALSE())</f>
        <v>19.2</v>
      </c>
      <c r="C147" s="1" t="n">
        <f aca="false">VLOOKUP(A147, Safety!A:B, 2, FALSE())</f>
        <v>47.1074129095351</v>
      </c>
      <c r="D147" s="1" t="e">
        <f aca="false">VLOOKUP(A147, Health!A:B, 2, FALSE())</f>
        <v>#N/A</v>
      </c>
      <c r="E147" s="1" t="n">
        <f aca="false">VLOOKUP(A147, Political!A:H, 8, FALSE())</f>
        <v>42.3666666666667</v>
      </c>
      <c r="F147" s="1" t="n">
        <f aca="false">VLOOKUP(A147, Pollution!A:B, 2, FALSE())</f>
        <v>31.21</v>
      </c>
      <c r="G147" s="1" t="n">
        <f aca="false">VLOOKUP(A147, Climate!A:B, 2, FALSE())</f>
        <v>3481</v>
      </c>
      <c r="H147" s="1" t="n">
        <f aca="false">VLOOKUP(A147, English!A:C, 3, FALSE())</f>
        <v>518</v>
      </c>
      <c r="I147" s="1" t="e">
        <f aca="false">VLOOKUP(A147, Openness!A:C, 2, FALSE())</f>
        <v>#N/A</v>
      </c>
      <c r="J147" s="1" t="e">
        <f aca="false">VLOOKUP(A147, Scenic!A:B, 2, FALSE())</f>
        <v>#N/A</v>
      </c>
      <c r="K147" s="1" t="n">
        <f aca="false">VLOOKUP(A147, Disaster!A:H, 4, FALSE())</f>
        <v>0.22</v>
      </c>
      <c r="L147" s="1" t="n">
        <f aca="false">VLOOKUP(A147, LifeExp60!A:B, 2, FALSE())</f>
        <v>20.675</v>
      </c>
    </row>
    <row r="148" customFormat="false" ht="15.75" hidden="false" customHeight="true" outlineLevel="0" collapsed="false">
      <c r="A148" s="1" t="s">
        <v>158</v>
      </c>
      <c r="B148" s="1" t="n">
        <f aca="false">VLOOKUP(A148, Sheet1!A:B, 2, FALSE())</f>
        <v>17.5</v>
      </c>
      <c r="C148" s="1" t="n">
        <f aca="false">VLOOKUP(A148, Safety!A:B, 2, FALSE())</f>
        <v>64.1706907270376</v>
      </c>
      <c r="D148" s="1" t="e">
        <f aca="false">VLOOKUP(A148, Health!A:B, 2, FALSE())</f>
        <v>#N/A</v>
      </c>
      <c r="E148" s="1" t="n">
        <f aca="false">VLOOKUP(A148, Political!A:H, 8, FALSE())</f>
        <v>47.5333333333333</v>
      </c>
      <c r="F148" s="1" t="n">
        <f aca="false">VLOOKUP(A148, Pollution!A:B, 2, FALSE())</f>
        <v>20.17</v>
      </c>
      <c r="G148" s="1" t="e">
        <f aca="false">VLOOKUP(A148, Climate!A:B, 2, FALSE())</f>
        <v>#N/A</v>
      </c>
      <c r="H148" s="1" t="n">
        <f aca="false">VLOOKUP(A148, English!A:C, 3, FALSE())</f>
        <v>479</v>
      </c>
      <c r="I148" s="1" t="e">
        <f aca="false">VLOOKUP(A148, Openness!A:C, 2, FALSE())</f>
        <v>#N/A</v>
      </c>
      <c r="J148" s="1" t="e">
        <f aca="false">VLOOKUP(A148, Scenic!A:B, 2, FALSE())</f>
        <v>#N/A</v>
      </c>
      <c r="K148" s="1" t="n">
        <f aca="false">VLOOKUP(A148, Disaster!A:H, 4, FALSE())</f>
        <v>5.39</v>
      </c>
      <c r="L148" s="1" t="n">
        <f aca="false">VLOOKUP(A148, LifeExp60!A:B, 2, FALSE())</f>
        <v>19.601</v>
      </c>
    </row>
    <row r="149" customFormat="false" ht="15.75" hidden="false" customHeight="true" outlineLevel="0" collapsed="false">
      <c r="A149" s="1" t="s">
        <v>159</v>
      </c>
      <c r="B149" s="1" t="n">
        <f aca="false">VLOOKUP(A149, Sheet1!A:B, 2, FALSE())</f>
        <v>17.3</v>
      </c>
      <c r="C149" s="1" t="n">
        <f aca="false">VLOOKUP(A149, Safety!A:B, 2, FALSE())</f>
        <v>74.2862526316827</v>
      </c>
      <c r="D149" s="1" t="n">
        <f aca="false">VLOOKUP(A149, Health!A:B, 2, FALSE())</f>
        <v>35.7</v>
      </c>
      <c r="E149" s="1" t="n">
        <f aca="false">VLOOKUP(A149, Political!A:H, 8, FALSE())</f>
        <v>23.555</v>
      </c>
      <c r="F149" s="1" t="n">
        <f aca="false">VLOOKUP(A149, Pollution!A:B, 2, FALSE())</f>
        <v>32.06</v>
      </c>
      <c r="G149" s="1" t="e">
        <f aca="false">VLOOKUP(A149, Climate!A:B, 2, FALSE())</f>
        <v>#N/A</v>
      </c>
      <c r="H149" s="1" t="n">
        <f aca="false">VLOOKUP(A149, English!A:C, 3, FALSE())</f>
        <v>456</v>
      </c>
      <c r="I149" s="1" t="e">
        <f aca="false">VLOOKUP(A149, Openness!A:C, 2, FALSE())</f>
        <v>#N/A</v>
      </c>
      <c r="J149" s="1" t="e">
        <f aca="false">VLOOKUP(A149, Scenic!A:B, 2, FALSE())</f>
        <v>#N/A</v>
      </c>
      <c r="K149" s="1" t="n">
        <f aca="false">VLOOKUP(A149, Disaster!A:H, 4, FALSE())</f>
        <v>2.56</v>
      </c>
      <c r="L149" s="1" t="n">
        <f aca="false">VLOOKUP(A149, LifeExp60!A:B, 2, FALSE())</f>
        <v>20.145</v>
      </c>
    </row>
    <row r="150" customFormat="false" ht="15.75" hidden="false" customHeight="true" outlineLevel="0" collapsed="false">
      <c r="A150" s="1" t="s">
        <v>160</v>
      </c>
      <c r="B150" s="1" t="n">
        <f aca="false">VLOOKUP(A150, Sheet1!A:B, 2, FALSE())</f>
        <v>16.6</v>
      </c>
      <c r="C150" s="1" t="n">
        <f aca="false">VLOOKUP(A150, Safety!A:B, 2, FALSE())</f>
        <v>35.1867020190558</v>
      </c>
      <c r="D150" s="1" t="n">
        <f aca="false">VLOOKUP(A150, Health!A:B, 2, FALSE())</f>
        <v>48</v>
      </c>
      <c r="E150" s="1" t="n">
        <f aca="false">VLOOKUP(A150, Political!A:H, 8, FALSE())</f>
        <v>38.0366666666667</v>
      </c>
      <c r="F150" s="1" t="n">
        <f aca="false">VLOOKUP(A150, Pollution!A:B, 2, FALSE())</f>
        <v>65.74</v>
      </c>
      <c r="G150" s="1" t="e">
        <f aca="false">VLOOKUP(A150, Climate!A:B, 2, FALSE())</f>
        <v>#N/A</v>
      </c>
      <c r="H150" s="1" t="n">
        <f aca="false">VLOOKUP(A150, English!A:C, 3, FALSE())</f>
        <v>568</v>
      </c>
      <c r="I150" s="1" t="e">
        <f aca="false">VLOOKUP(A150, Openness!A:C, 2, FALSE())</f>
        <v>#N/A</v>
      </c>
      <c r="J150" s="1" t="e">
        <f aca="false">VLOOKUP(A150, Scenic!A:B, 2, FALSE())</f>
        <v>#N/A</v>
      </c>
      <c r="K150" s="1" t="n">
        <f aca="false">VLOOKUP(A150, Disaster!A:H, 4, FALSE())</f>
        <v>1.28</v>
      </c>
      <c r="L150" s="1" t="n">
        <f aca="false">VLOOKUP(A150, LifeExp60!A:B, 2, FALSE())</f>
        <v>15.473</v>
      </c>
    </row>
    <row r="151" customFormat="false" ht="15.75" hidden="false" customHeight="true" outlineLevel="0" collapsed="false">
      <c r="A151" s="1" t="s">
        <v>161</v>
      </c>
      <c r="B151" s="1" t="n">
        <f aca="false">VLOOKUP(A151, Sheet1!A:B, 2, FALSE())</f>
        <v>16.5</v>
      </c>
      <c r="C151" s="1" t="e">
        <f aca="false">VLOOKUP(A151, Safety!A:B, 2, FALSE())</f>
        <v>#N/A</v>
      </c>
      <c r="D151" s="1" t="e">
        <f aca="false">VLOOKUP(A151, Health!A:B, 2, FALSE())</f>
        <v>#N/A</v>
      </c>
      <c r="E151" s="1" t="n">
        <f aca="false">VLOOKUP(A151, Political!A:H, 8, FALSE())</f>
        <v>41.3366666666667</v>
      </c>
      <c r="F151" s="1" t="n">
        <f aca="false">VLOOKUP(A151, Pollution!A:B, 2, FALSE())</f>
        <v>12.39</v>
      </c>
      <c r="G151" s="1" t="e">
        <f aca="false">VLOOKUP(A151, Climate!A:B, 2, FALSE())</f>
        <v>#N/A</v>
      </c>
      <c r="H151" s="1" t="n">
        <f aca="false">VLOOKUP(A151, English!A:C, 3, FALSE())</f>
        <v>457</v>
      </c>
      <c r="I151" s="1" t="e">
        <f aca="false">VLOOKUP(A151, Openness!A:C, 2, FALSE())</f>
        <v>#N/A</v>
      </c>
      <c r="J151" s="1" t="e">
        <f aca="false">VLOOKUP(A151, Scenic!A:B, 2, FALSE())</f>
        <v>#N/A</v>
      </c>
      <c r="K151" s="1" t="n">
        <f aca="false">VLOOKUP(A151, Disaster!A:H, 4, FALSE())</f>
        <v>19.1</v>
      </c>
      <c r="L151" s="1" t="n">
        <f aca="false">VLOOKUP(A151, LifeExp60!A:B, 2, FALSE())</f>
        <v>18.006</v>
      </c>
    </row>
    <row r="152" customFormat="false" ht="15.75" hidden="false" customHeight="true" outlineLevel="0" collapsed="false">
      <c r="A152" s="1" t="s">
        <v>162</v>
      </c>
      <c r="B152" s="1" t="n">
        <f aca="false">VLOOKUP(A152, Sheet1!A:B, 2, FALSE())</f>
        <v>12.9</v>
      </c>
      <c r="C152" s="1" t="n">
        <f aca="false">VLOOKUP(A152, Safety!A:B, 2, FALSE())</f>
        <v>62.8394893198029</v>
      </c>
      <c r="D152" s="1" t="e">
        <f aca="false">VLOOKUP(A152, Health!A:B, 2, FALSE())</f>
        <v>#N/A</v>
      </c>
      <c r="E152" s="1" t="n">
        <f aca="false">VLOOKUP(A152, Political!A:H, 8, FALSE())</f>
        <v>23.3483333333333</v>
      </c>
      <c r="F152" s="1" t="n">
        <f aca="false">VLOOKUP(A152, Pollution!A:B, 2, FALSE())</f>
        <v>37.95</v>
      </c>
      <c r="G152" s="1" t="e">
        <f aca="false">VLOOKUP(A152, Climate!A:B, 2, FALSE())</f>
        <v>#N/A</v>
      </c>
      <c r="H152" s="1" t="n">
        <f aca="false">VLOOKUP(A152, English!A:C, 3, FALSE())</f>
        <v>446</v>
      </c>
      <c r="I152" s="1" t="e">
        <f aca="false">VLOOKUP(A152, Openness!A:C, 2, FALSE())</f>
        <v>#N/A</v>
      </c>
      <c r="J152" s="1" t="e">
        <f aca="false">VLOOKUP(A152, Scenic!A:B, 2, FALSE())</f>
        <v>#N/A</v>
      </c>
      <c r="K152" s="1" t="n">
        <f aca="false">VLOOKUP(A152, Disaster!A:H, 4, FALSE())</f>
        <v>0.26</v>
      </c>
      <c r="L152" s="1" t="n">
        <f aca="false">VLOOKUP(A152, LifeExp60!A:B, 2, FALSE())</f>
        <v>17.566</v>
      </c>
    </row>
    <row r="153" customFormat="false" ht="15.75" hidden="false" customHeight="true" outlineLevel="0" collapsed="false">
      <c r="A153" s="1" t="s">
        <v>163</v>
      </c>
      <c r="B153" s="1" t="n">
        <f aca="false">VLOOKUP(A153, Sheet1!A:B, 2, FALSE())</f>
        <v>12.7</v>
      </c>
      <c r="C153" s="1" t="e">
        <f aca="false">VLOOKUP(A153, Safety!A:B, 2, FALSE())</f>
        <v>#N/A</v>
      </c>
      <c r="D153" s="1" t="e">
        <f aca="false">VLOOKUP(A153, Health!A:B, 2, FALSE())</f>
        <v>#N/A</v>
      </c>
      <c r="E153" s="1" t="n">
        <f aca="false">VLOOKUP(A153, Political!A:H, 8, FALSE())</f>
        <v>27.0133333333333</v>
      </c>
      <c r="F153" s="1" t="n">
        <f aca="false">VLOOKUP(A153, Pollution!A:B, 2, FALSE())</f>
        <v>20.01</v>
      </c>
      <c r="G153" s="1" t="e">
        <f aca="false">VLOOKUP(A153, Climate!A:B, 2, FALSE())</f>
        <v>#N/A</v>
      </c>
      <c r="H153" s="1" t="n">
        <f aca="false">VLOOKUP(A153, English!A:C, 3, FALSE())</f>
        <v>395</v>
      </c>
      <c r="I153" s="1" t="e">
        <f aca="false">VLOOKUP(A153, Openness!A:C, 2, FALSE())</f>
        <v>#N/A</v>
      </c>
      <c r="J153" s="1" t="e">
        <f aca="false">VLOOKUP(A153, Scenic!A:B, 2, FALSE())</f>
        <v>#N/A</v>
      </c>
      <c r="K153" s="1" t="n">
        <f aca="false">VLOOKUP(A153, Disaster!A:H, 4, FALSE())</f>
        <v>4.75</v>
      </c>
      <c r="L153" s="1" t="n">
        <f aca="false">VLOOKUP(A153, LifeExp60!A:B, 2, FALSE())</f>
        <v>18.553</v>
      </c>
    </row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164</v>
      </c>
      <c r="C1" s="2" t="s">
        <v>165</v>
      </c>
      <c r="D1" s="2" t="s">
        <v>166</v>
      </c>
      <c r="E1" s="3" t="s">
        <v>167</v>
      </c>
      <c r="G1" s="1" t="s">
        <v>0</v>
      </c>
      <c r="H1" s="1" t="s">
        <v>168</v>
      </c>
      <c r="J1" s="1" t="s">
        <v>0</v>
      </c>
      <c r="K1" s="1" t="s">
        <v>169</v>
      </c>
      <c r="L1" s="1" t="s">
        <v>170</v>
      </c>
      <c r="M1" s="3" t="s">
        <v>171</v>
      </c>
    </row>
    <row r="2" customFormat="false" ht="15.75" hidden="false" customHeight="true" outlineLevel="0" collapsed="false">
      <c r="A2" s="1" t="s">
        <v>172</v>
      </c>
      <c r="B2" s="1" t="n">
        <f aca="false">100*(1-LN(1+C2)/LN(1+MAX($C$2:$C$209)))</f>
        <v>100</v>
      </c>
      <c r="C2" s="1" t="n">
        <v>0</v>
      </c>
      <c r="D2" s="1" t="n">
        <v>2019</v>
      </c>
      <c r="G2" s="1" t="s">
        <v>173</v>
      </c>
      <c r="H2" s="1" t="n">
        <v>86.5</v>
      </c>
      <c r="J2" s="1" t="s">
        <v>173</v>
      </c>
      <c r="K2" s="1" t="n">
        <v>84.7</v>
      </c>
    </row>
    <row r="3" customFormat="false" ht="15.75" hidden="false" customHeight="true" outlineLevel="0" collapsed="false">
      <c r="A3" s="1" t="s">
        <v>121</v>
      </c>
      <c r="B3" s="1" t="n">
        <f aca="false">100*(1-LN(1+C3)/LN(1+MAX($C$2:$C$209)))</f>
        <v>100</v>
      </c>
      <c r="C3" s="1" t="n">
        <v>0</v>
      </c>
      <c r="D3" s="1" t="n">
        <v>2024</v>
      </c>
      <c r="G3" s="1" t="s">
        <v>33</v>
      </c>
      <c r="H3" s="1" t="n">
        <v>86.4</v>
      </c>
      <c r="J3" s="1" t="s">
        <v>33</v>
      </c>
      <c r="K3" s="1" t="n">
        <v>84.5</v>
      </c>
    </row>
    <row r="4" customFormat="false" ht="15.75" hidden="false" customHeight="true" outlineLevel="0" collapsed="false">
      <c r="A4" s="1" t="s">
        <v>122</v>
      </c>
      <c r="B4" s="1" t="n">
        <f aca="false">100*(1-LN(1+C4)/LN(1+MAX($C$2:$C$209)))</f>
        <v>100</v>
      </c>
      <c r="C4" s="1" t="n">
        <v>0</v>
      </c>
      <c r="D4" s="1" t="n">
        <v>2016</v>
      </c>
      <c r="G4" s="1" t="s">
        <v>19</v>
      </c>
      <c r="H4" s="1" t="n">
        <v>84.8</v>
      </c>
      <c r="J4" s="1" t="s">
        <v>19</v>
      </c>
      <c r="K4" s="1" t="n">
        <v>84.2</v>
      </c>
    </row>
    <row r="5" customFormat="false" ht="15.75" hidden="false" customHeight="true" outlineLevel="0" collapsed="false">
      <c r="A5" s="1" t="s">
        <v>174</v>
      </c>
      <c r="B5" s="1" t="n">
        <f aca="false">100*(1-LN(1+C5)/LN(1+MAX($C$2:$C$209)))</f>
        <v>100</v>
      </c>
      <c r="C5" s="1" t="n">
        <v>0</v>
      </c>
      <c r="D5" s="1" t="n">
        <v>2008</v>
      </c>
      <c r="E5" s="3" t="s">
        <v>175</v>
      </c>
      <c r="G5" s="1" t="s">
        <v>48</v>
      </c>
      <c r="H5" s="1" t="n">
        <v>82.9</v>
      </c>
      <c r="J5" s="1" t="s">
        <v>48</v>
      </c>
      <c r="K5" s="1" t="n">
        <v>82.9</v>
      </c>
    </row>
    <row r="6" customFormat="false" ht="15.75" hidden="false" customHeight="true" outlineLevel="0" collapsed="false">
      <c r="A6" s="1" t="s">
        <v>176</v>
      </c>
      <c r="B6" s="1" t="n">
        <f aca="false">100*(1-LN(1+C6)/LN(1+MAX($C$2:$C$209)))</f>
        <v>100</v>
      </c>
      <c r="C6" s="1" t="n">
        <v>0</v>
      </c>
      <c r="D6" s="1" t="n">
        <v>2018</v>
      </c>
      <c r="G6" s="1" t="s">
        <v>124</v>
      </c>
      <c r="H6" s="1" t="n">
        <v>81.8</v>
      </c>
      <c r="J6" s="1" t="s">
        <v>37</v>
      </c>
      <c r="K6" s="1" t="n">
        <v>81.7</v>
      </c>
    </row>
    <row r="7" customFormat="false" ht="15.75" hidden="false" customHeight="true" outlineLevel="0" collapsed="false">
      <c r="A7" s="1" t="s">
        <v>177</v>
      </c>
      <c r="B7" s="1" t="n">
        <f aca="false">100*(1-LN(1+C7)/LN(1+MAX($C$2:$C$209)))</f>
        <v>100</v>
      </c>
      <c r="C7" s="1" t="n">
        <v>0</v>
      </c>
      <c r="D7" s="1" t="n">
        <v>2009</v>
      </c>
      <c r="E7" s="3" t="s">
        <v>175</v>
      </c>
      <c r="G7" s="1" t="s">
        <v>37</v>
      </c>
      <c r="H7" s="1" t="n">
        <v>81.7</v>
      </c>
      <c r="J7" s="1" t="s">
        <v>122</v>
      </c>
      <c r="K7" s="1" t="n">
        <v>79</v>
      </c>
    </row>
    <row r="8" customFormat="false" ht="15.75" hidden="false" customHeight="true" outlineLevel="0" collapsed="false">
      <c r="A8" s="1" t="s">
        <v>178</v>
      </c>
      <c r="B8" s="1" t="n">
        <f aca="false">100*(1-LN(1+C8)/LN(1+MAX($C$2:$C$209)))</f>
        <v>100</v>
      </c>
      <c r="C8" s="1" t="n">
        <v>0</v>
      </c>
      <c r="D8" s="1" t="n">
        <v>2011</v>
      </c>
      <c r="E8" s="3" t="s">
        <v>175</v>
      </c>
      <c r="G8" s="1" t="s">
        <v>122</v>
      </c>
      <c r="H8" s="1" t="n">
        <v>80.3</v>
      </c>
      <c r="J8" s="1" t="s">
        <v>26</v>
      </c>
      <c r="K8" s="1" t="n">
        <v>78.5</v>
      </c>
    </row>
    <row r="9" customFormat="false" ht="15.75" hidden="false" customHeight="true" outlineLevel="0" collapsed="false">
      <c r="A9" s="1" t="s">
        <v>179</v>
      </c>
      <c r="B9" s="1" t="n">
        <f aca="false">100*(1-LN(1+C9)/LN(1+MAX($C$2:$C$209)))</f>
        <v>100</v>
      </c>
      <c r="C9" s="1" t="n">
        <v>0</v>
      </c>
      <c r="D9" s="1" t="n">
        <v>2019</v>
      </c>
      <c r="G9" s="1" t="s">
        <v>26</v>
      </c>
      <c r="H9" s="1" t="n">
        <v>78.2</v>
      </c>
      <c r="J9" s="1" t="s">
        <v>77</v>
      </c>
      <c r="K9" s="1" t="n">
        <v>77.9</v>
      </c>
    </row>
    <row r="10" customFormat="false" ht="15.75" hidden="false" customHeight="true" outlineLevel="0" collapsed="false">
      <c r="A10" s="1" t="s">
        <v>180</v>
      </c>
      <c r="B10" s="1" t="n">
        <f aca="false">100*(1-LN(1+C10)/LN(1+MAX($C$2:$C$209)))</f>
        <v>100</v>
      </c>
      <c r="C10" s="1" t="n">
        <v>0</v>
      </c>
      <c r="D10" s="1" t="n">
        <v>2023</v>
      </c>
      <c r="G10" s="1" t="s">
        <v>77</v>
      </c>
      <c r="H10" s="1" t="n">
        <v>78</v>
      </c>
      <c r="J10" s="1" t="s">
        <v>15</v>
      </c>
      <c r="K10" s="1" t="n">
        <v>77.4</v>
      </c>
    </row>
    <row r="11" customFormat="false" ht="15.75" hidden="false" customHeight="true" outlineLevel="0" collapsed="false">
      <c r="A11" s="1" t="s">
        <v>117</v>
      </c>
      <c r="B11" s="1" t="n">
        <f aca="false">100*(1-LN(1+C11)/LN(1+MAX($C$2:$C$209)))</f>
        <v>100</v>
      </c>
      <c r="C11" s="1" t="n">
        <v>0</v>
      </c>
      <c r="D11" s="1" t="n">
        <v>2010</v>
      </c>
      <c r="E11" s="3" t="s">
        <v>181</v>
      </c>
      <c r="G11" s="1" t="s">
        <v>40</v>
      </c>
      <c r="H11" s="1" t="n">
        <v>77.8</v>
      </c>
      <c r="J11" s="1" t="s">
        <v>40</v>
      </c>
      <c r="K11" s="1" t="n">
        <v>77.1</v>
      </c>
    </row>
    <row r="12" customFormat="false" ht="15.75" hidden="false" customHeight="true" outlineLevel="0" collapsed="false">
      <c r="A12" s="1" t="s">
        <v>120</v>
      </c>
      <c r="B12" s="1" t="n">
        <f aca="false">100*(1-LN(1+C12)/LN(1+MAX($C$2:$C$209)))</f>
        <v>100</v>
      </c>
      <c r="C12" s="1" t="n">
        <v>0</v>
      </c>
      <c r="D12" s="1" t="n">
        <v>2010</v>
      </c>
      <c r="E12" s="3" t="s">
        <v>181</v>
      </c>
      <c r="G12" s="1" t="s">
        <v>39</v>
      </c>
      <c r="H12" s="1" t="n">
        <v>77.7</v>
      </c>
      <c r="J12" s="1" t="s">
        <v>174</v>
      </c>
      <c r="K12" s="1" t="n">
        <v>76.7</v>
      </c>
    </row>
    <row r="13" customFormat="false" ht="15.75" hidden="false" customHeight="true" outlineLevel="0" collapsed="false">
      <c r="A13" s="1" t="s">
        <v>15</v>
      </c>
      <c r="B13" s="1" t="n">
        <f aca="false">100*(1-LN(1+C13)/LN(1+MAX($C$2:$C$209)))</f>
        <v>98.4654924139728</v>
      </c>
      <c r="C13" s="1" t="n">
        <v>0.069</v>
      </c>
      <c r="D13" s="1" t="n">
        <v>2023</v>
      </c>
      <c r="G13" s="1" t="s">
        <v>15</v>
      </c>
      <c r="H13" s="1" t="n">
        <v>77.7</v>
      </c>
      <c r="J13" s="1" t="s">
        <v>42</v>
      </c>
      <c r="K13" s="1" t="n">
        <v>76.3</v>
      </c>
    </row>
    <row r="14" customFormat="false" ht="15.75" hidden="false" customHeight="true" outlineLevel="0" collapsed="false">
      <c r="A14" s="1" t="s">
        <v>19</v>
      </c>
      <c r="B14" s="1" t="n">
        <f aca="false">100*(1-LN(1+C14)/LN(1+MAX($C$2:$C$209)))</f>
        <v>98.4654924139728</v>
      </c>
      <c r="C14" s="1" t="n">
        <v>0.069</v>
      </c>
      <c r="D14" s="1" t="n">
        <v>2022</v>
      </c>
      <c r="G14" s="1" t="s">
        <v>61</v>
      </c>
      <c r="H14" s="1" t="n">
        <v>77</v>
      </c>
      <c r="J14" s="1" t="s">
        <v>49</v>
      </c>
      <c r="K14" s="1" t="n">
        <v>76.2</v>
      </c>
    </row>
    <row r="15" customFormat="false" ht="15.75" hidden="false" customHeight="true" outlineLevel="0" collapsed="false">
      <c r="A15" s="1" t="s">
        <v>37</v>
      </c>
      <c r="B15" s="1" t="n">
        <f aca="false">100*(1-LN(1+C15)/LN(1+MAX($C$2:$C$209)))</f>
        <v>97.0067994423654</v>
      </c>
      <c r="C15" s="1" t="n">
        <v>0.139</v>
      </c>
      <c r="D15" s="1" t="n">
        <v>2023</v>
      </c>
      <c r="G15" s="1" t="s">
        <v>44</v>
      </c>
      <c r="H15" s="1" t="n">
        <v>76.8</v>
      </c>
      <c r="J15" s="1" t="s">
        <v>44</v>
      </c>
      <c r="K15" s="1" t="n">
        <v>76.1</v>
      </c>
    </row>
    <row r="16" customFormat="false" ht="15.75" hidden="false" customHeight="true" outlineLevel="0" collapsed="false">
      <c r="A16" s="1" t="s">
        <v>39</v>
      </c>
      <c r="B16" s="1" t="n">
        <f aca="false">100*(1-LN(1+C16)/LN(1+MAX($C$2:$C$209)))</f>
        <v>95.8837636041896</v>
      </c>
      <c r="C16" s="1" t="n">
        <v>0.196</v>
      </c>
      <c r="D16" s="1" t="n">
        <v>2022</v>
      </c>
      <c r="G16" s="1" t="s">
        <v>42</v>
      </c>
      <c r="H16" s="1" t="n">
        <v>76.5</v>
      </c>
      <c r="J16" s="1" t="s">
        <v>61</v>
      </c>
      <c r="K16" s="1" t="n">
        <v>76</v>
      </c>
    </row>
    <row r="17" customFormat="false" ht="15.75" hidden="false" customHeight="true" outlineLevel="0" collapsed="false">
      <c r="A17" s="1" t="s">
        <v>40</v>
      </c>
      <c r="B17" s="1" t="n">
        <f aca="false">100*(1-LN(1+C17)/LN(1+MAX($C$2:$C$209)))</f>
        <v>95.2578010355819</v>
      </c>
      <c r="C17" s="1" t="n">
        <v>0.229</v>
      </c>
      <c r="D17" s="1" t="n">
        <v>2023</v>
      </c>
      <c r="G17" s="1" t="s">
        <v>49</v>
      </c>
      <c r="H17" s="1" t="n">
        <v>75.5</v>
      </c>
      <c r="J17" s="1" t="s">
        <v>39</v>
      </c>
      <c r="K17" s="1" t="n">
        <v>75.5</v>
      </c>
    </row>
    <row r="18" customFormat="false" ht="15.75" hidden="false" customHeight="true" outlineLevel="0" collapsed="false">
      <c r="A18" s="1" t="s">
        <v>27</v>
      </c>
      <c r="B18" s="1" t="n">
        <f aca="false">100*(1-LN(1+C18)/LN(1+MAX($C$2:$C$209)))</f>
        <v>94.8681529799742</v>
      </c>
      <c r="C18" s="1" t="n">
        <v>0.25</v>
      </c>
      <c r="D18" s="1" t="n">
        <v>2020</v>
      </c>
      <c r="G18" s="1" t="s">
        <v>52</v>
      </c>
      <c r="H18" s="1" t="n">
        <v>74.8</v>
      </c>
      <c r="J18" s="1" t="s">
        <v>38</v>
      </c>
      <c r="K18" s="1" t="n">
        <v>75.1</v>
      </c>
    </row>
    <row r="19" customFormat="false" ht="15.75" hidden="false" customHeight="true" outlineLevel="0" collapsed="false">
      <c r="A19" s="1" t="s">
        <v>105</v>
      </c>
      <c r="B19" s="1" t="n">
        <f aca="false">100*(1-LN(1+C19)/LN(1+MAX($C$2:$C$209)))</f>
        <v>93.8955021723955</v>
      </c>
      <c r="C19" s="1" t="n">
        <v>0.304</v>
      </c>
      <c r="D19" s="1" t="n">
        <v>2022</v>
      </c>
      <c r="G19" s="1" t="s">
        <v>14</v>
      </c>
      <c r="H19" s="1" t="n">
        <v>74.5</v>
      </c>
      <c r="J19" s="1" t="s">
        <v>52</v>
      </c>
      <c r="K19" s="1" t="n">
        <v>74.5</v>
      </c>
    </row>
    <row r="20" customFormat="false" ht="15.75" hidden="false" customHeight="true" outlineLevel="0" collapsed="false">
      <c r="A20" s="1" t="s">
        <v>182</v>
      </c>
      <c r="B20" s="1" t="n">
        <f aca="false">100*(1-LN(1+C20)/LN(1+MAX($C$2:$C$209)))</f>
        <v>93.3551689916591</v>
      </c>
      <c r="C20" s="1" t="n">
        <v>0.335</v>
      </c>
      <c r="D20" s="1" t="n">
        <v>2020</v>
      </c>
      <c r="G20" s="1" t="s">
        <v>174</v>
      </c>
      <c r="H20" s="1" t="n">
        <v>74.5</v>
      </c>
      <c r="J20" s="1" t="s">
        <v>14</v>
      </c>
      <c r="K20" s="1" t="n">
        <v>74.3</v>
      </c>
    </row>
    <row r="21" customFormat="false" ht="15.75" hidden="false" customHeight="true" outlineLevel="0" collapsed="false">
      <c r="A21" s="1" t="s">
        <v>183</v>
      </c>
      <c r="B21" s="1" t="n">
        <f aca="false">100*(1-LN(1+C21)/LN(1+MAX($C$2:$C$209)))</f>
        <v>92.7432137075968</v>
      </c>
      <c r="C21" s="1" t="n">
        <v>0.371</v>
      </c>
      <c r="D21" s="1" t="n">
        <v>2009</v>
      </c>
      <c r="E21" s="3" t="s">
        <v>175</v>
      </c>
      <c r="G21" s="1" t="s">
        <v>32</v>
      </c>
      <c r="H21" s="1" t="n">
        <v>73.7</v>
      </c>
      <c r="J21" s="1" t="s">
        <v>18</v>
      </c>
      <c r="K21" s="1" t="n">
        <v>74</v>
      </c>
    </row>
    <row r="22" customFormat="false" ht="15.75" hidden="false" customHeight="true" outlineLevel="0" collapsed="false">
      <c r="A22" s="1" t="s">
        <v>26</v>
      </c>
      <c r="B22" s="1" t="n">
        <f aca="false">100*(1-LN(1+C22)/LN(1+MAX($C$2:$C$209)))</f>
        <v>92.6594933294601</v>
      </c>
      <c r="C22" s="1" t="n">
        <v>0.376</v>
      </c>
      <c r="D22" s="1" t="n">
        <v>2023</v>
      </c>
      <c r="G22" s="1" t="s">
        <v>155</v>
      </c>
      <c r="H22" s="1" t="n">
        <v>73.6</v>
      </c>
      <c r="J22" s="1" t="s">
        <v>84</v>
      </c>
      <c r="K22" s="1" t="n">
        <v>73.7</v>
      </c>
    </row>
    <row r="23" customFormat="false" ht="15.75" hidden="false" customHeight="true" outlineLevel="0" collapsed="false">
      <c r="A23" s="1" t="s">
        <v>38</v>
      </c>
      <c r="B23" s="1" t="n">
        <f aca="false">100*(1-LN(1+C23)/LN(1+MAX($C$2:$C$209)))</f>
        <v>91.0304955789774</v>
      </c>
      <c r="C23" s="1" t="n">
        <v>0.477</v>
      </c>
      <c r="D23" s="1" t="n">
        <v>2023</v>
      </c>
      <c r="G23" s="1" t="s">
        <v>47</v>
      </c>
      <c r="H23" s="1" t="n">
        <v>73.3</v>
      </c>
      <c r="J23" s="1" t="s">
        <v>47</v>
      </c>
      <c r="K23" s="1" t="n">
        <v>73.5</v>
      </c>
    </row>
    <row r="24" customFormat="false" ht="15.75" hidden="false" customHeight="true" outlineLevel="0" collapsed="false">
      <c r="A24" s="1" t="s">
        <v>135</v>
      </c>
      <c r="B24" s="1" t="n">
        <f aca="false">100*(1-LN(1+C24)/LN(1+MAX($C$2:$C$209)))</f>
        <v>90.8907842736498</v>
      </c>
      <c r="C24" s="1" t="n">
        <v>0.486</v>
      </c>
      <c r="D24" s="1" t="n">
        <v>2013</v>
      </c>
      <c r="E24" s="3" t="s">
        <v>175</v>
      </c>
      <c r="G24" s="1" t="s">
        <v>18</v>
      </c>
      <c r="H24" s="1" t="n">
        <v>73.2</v>
      </c>
      <c r="J24" s="1" t="s">
        <v>12</v>
      </c>
      <c r="K24" s="1" t="n">
        <v>73.5</v>
      </c>
    </row>
    <row r="25" customFormat="false" ht="15.75" hidden="false" customHeight="true" outlineLevel="0" collapsed="false">
      <c r="A25" s="1" t="s">
        <v>61</v>
      </c>
      <c r="B25" s="1" t="n">
        <f aca="false">100*(1-LN(1+C25)/LN(1+MAX($C$2:$C$209)))</f>
        <v>90.6444851326578</v>
      </c>
      <c r="C25" s="1" t="n">
        <v>0.502</v>
      </c>
      <c r="D25" s="1" t="n">
        <v>2020</v>
      </c>
      <c r="G25" s="1" t="s">
        <v>84</v>
      </c>
      <c r="H25" s="1" t="n">
        <v>73.1</v>
      </c>
      <c r="J25" s="1" t="s">
        <v>32</v>
      </c>
      <c r="K25" s="1" t="n">
        <v>73.2</v>
      </c>
    </row>
    <row r="26" customFormat="false" ht="15.75" hidden="false" customHeight="true" outlineLevel="0" collapsed="false">
      <c r="A26" s="1" t="s">
        <v>124</v>
      </c>
      <c r="B26" s="1" t="n">
        <f aca="false">100*(1-LN(1+C26)/LN(1+MAX($C$2:$C$209)))</f>
        <v>89.7731321687406</v>
      </c>
      <c r="C26" s="1" t="n">
        <v>0.56</v>
      </c>
      <c r="D26" s="1" t="n">
        <v>2023</v>
      </c>
      <c r="G26" s="1" t="s">
        <v>89</v>
      </c>
      <c r="H26" s="1" t="n">
        <v>72.7</v>
      </c>
      <c r="J26" s="1" t="s">
        <v>155</v>
      </c>
      <c r="K26" s="1" t="n">
        <v>73.1</v>
      </c>
    </row>
    <row r="27" customFormat="false" ht="15.75" hidden="false" customHeight="true" outlineLevel="0" collapsed="false">
      <c r="A27" s="1" t="s">
        <v>46</v>
      </c>
      <c r="B27" s="1" t="n">
        <f aca="false">100*(1-LN(1+C27)/LN(1+MAX($C$2:$C$209)))</f>
        <v>89.7289477892005</v>
      </c>
      <c r="C27" s="1" t="n">
        <v>0.563</v>
      </c>
      <c r="D27" s="1" t="n">
        <v>2023</v>
      </c>
      <c r="G27" s="1" t="s">
        <v>21</v>
      </c>
      <c r="H27" s="1" t="n">
        <v>72.3</v>
      </c>
      <c r="J27" s="1" t="s">
        <v>21</v>
      </c>
      <c r="K27" s="1" t="n">
        <v>73.1</v>
      </c>
    </row>
    <row r="28" customFormat="false" ht="15.75" hidden="false" customHeight="true" outlineLevel="0" collapsed="false">
      <c r="A28" s="1" t="s">
        <v>49</v>
      </c>
      <c r="B28" s="1" t="n">
        <f aca="false">100*(1-LN(1+C28)/LN(1+MAX($C$2:$C$209)))</f>
        <v>89.6848481352723</v>
      </c>
      <c r="C28" s="1" t="n">
        <v>0.566</v>
      </c>
      <c r="D28" s="1" t="n">
        <v>2023</v>
      </c>
      <c r="G28" s="1" t="s">
        <v>12</v>
      </c>
      <c r="H28" s="1" t="n">
        <v>71.9</v>
      </c>
      <c r="J28" s="1" t="s">
        <v>89</v>
      </c>
      <c r="K28" s="1" t="n">
        <v>72.1</v>
      </c>
    </row>
    <row r="29" customFormat="false" ht="15.75" hidden="false" customHeight="true" outlineLevel="0" collapsed="false">
      <c r="A29" s="1" t="s">
        <v>43</v>
      </c>
      <c r="B29" s="1" t="n">
        <f aca="false">100*(1-LN(1+C29)/LN(1+MAX($C$2:$C$209)))</f>
        <v>89.6554952755421</v>
      </c>
      <c r="C29" s="1" t="n">
        <v>0.568</v>
      </c>
      <c r="D29" s="1" t="n">
        <v>2023</v>
      </c>
      <c r="G29" s="1" t="s">
        <v>51</v>
      </c>
      <c r="H29" s="1" t="n">
        <v>71.3</v>
      </c>
      <c r="J29" s="1" t="s">
        <v>51</v>
      </c>
      <c r="K29" s="1" t="n">
        <v>71</v>
      </c>
    </row>
    <row r="30" customFormat="false" ht="15.75" hidden="false" customHeight="true" outlineLevel="0" collapsed="false">
      <c r="A30" s="1" t="s">
        <v>12</v>
      </c>
      <c r="B30" s="1" t="n">
        <f aca="false">100*(1-LN(1+C30)/LN(1+MAX($C$2:$C$209)))</f>
        <v>89.2340358270808</v>
      </c>
      <c r="C30" s="1" t="n">
        <v>0.597</v>
      </c>
      <c r="D30" s="1" t="n">
        <v>2023</v>
      </c>
      <c r="G30" s="1" t="s">
        <v>115</v>
      </c>
      <c r="H30" s="1" t="n">
        <v>71</v>
      </c>
      <c r="J30" s="1" t="s">
        <v>135</v>
      </c>
      <c r="K30" s="1" t="n">
        <v>70.7</v>
      </c>
    </row>
    <row r="31" customFormat="false" ht="15.75" hidden="false" customHeight="true" outlineLevel="0" collapsed="false">
      <c r="A31" s="1" t="s">
        <v>129</v>
      </c>
      <c r="B31" s="1" t="n">
        <f aca="false">100*(1-LN(1+C31)/LN(1+MAX($C$2:$C$209)))</f>
        <v>88.9762726526608</v>
      </c>
      <c r="C31" s="1" t="n">
        <v>0.615</v>
      </c>
      <c r="D31" s="1" t="n">
        <v>2019</v>
      </c>
      <c r="G31" s="1" t="s">
        <v>28</v>
      </c>
      <c r="H31" s="1" t="n">
        <v>70.8</v>
      </c>
      <c r="J31" s="1" t="s">
        <v>28</v>
      </c>
      <c r="K31" s="1" t="n">
        <v>70.5</v>
      </c>
    </row>
    <row r="32" customFormat="false" ht="15.75" hidden="false" customHeight="true" outlineLevel="0" collapsed="false">
      <c r="A32" s="1" t="s">
        <v>184</v>
      </c>
      <c r="B32" s="1" t="n">
        <f aca="false">100*(1-LN(1+C32)/LN(1+MAX($C$2:$C$209)))</f>
        <v>88.8768064875196</v>
      </c>
      <c r="C32" s="1" t="n">
        <v>0.622</v>
      </c>
      <c r="D32" s="1" t="n">
        <v>2022</v>
      </c>
      <c r="G32" s="1" t="s">
        <v>38</v>
      </c>
      <c r="H32" s="1" t="n">
        <v>70.3</v>
      </c>
      <c r="J32" s="1" t="s">
        <v>115</v>
      </c>
      <c r="K32" s="1" t="n">
        <v>69.2</v>
      </c>
    </row>
    <row r="33" customFormat="false" ht="15.75" hidden="false" customHeight="true" outlineLevel="0" collapsed="false">
      <c r="A33" s="1" t="s">
        <v>24</v>
      </c>
      <c r="B33" s="1" t="n">
        <f aca="false">100*(1-LN(1+C33)/LN(1+MAX($C$2:$C$209)))</f>
        <v>88.4275035529916</v>
      </c>
      <c r="C33" s="1" t="n">
        <v>0.654</v>
      </c>
      <c r="D33" s="1" t="n">
        <v>2023</v>
      </c>
      <c r="G33" s="1" t="s">
        <v>135</v>
      </c>
      <c r="H33" s="1" t="n">
        <v>70.1</v>
      </c>
      <c r="J33" s="1" t="s">
        <v>56</v>
      </c>
      <c r="K33" s="1" t="n">
        <v>69</v>
      </c>
    </row>
    <row r="34" customFormat="false" ht="15.75" hidden="false" customHeight="true" outlineLevel="0" collapsed="false">
      <c r="A34" s="1" t="s">
        <v>52</v>
      </c>
      <c r="B34" s="1" t="n">
        <f aca="false">100*(1-LN(1+C34)/LN(1+MAX($C$2:$C$209)))</f>
        <v>88.2474523399321</v>
      </c>
      <c r="C34" s="1" t="n">
        <v>0.667</v>
      </c>
      <c r="D34" s="1" t="n">
        <v>2023</v>
      </c>
      <c r="G34" s="1" t="s">
        <v>56</v>
      </c>
      <c r="H34" s="1" t="n">
        <v>69.1</v>
      </c>
      <c r="J34" s="1" t="s">
        <v>95</v>
      </c>
      <c r="K34" s="1" t="n">
        <v>68.2</v>
      </c>
    </row>
    <row r="35" customFormat="false" ht="15.75" hidden="false" customHeight="true" outlineLevel="0" collapsed="false">
      <c r="A35" s="1" t="s">
        <v>41</v>
      </c>
      <c r="B35" s="1" t="n">
        <f aca="false">100*(1-LN(1+C35)/LN(1+MAX($C$2:$C$209)))</f>
        <v>87.9187087438419</v>
      </c>
      <c r="C35" s="1" t="n">
        <v>0.691</v>
      </c>
      <c r="D35" s="1" t="n">
        <v>2023</v>
      </c>
      <c r="G35" s="1" t="s">
        <v>95</v>
      </c>
      <c r="H35" s="1" t="n">
        <v>68.5</v>
      </c>
      <c r="J35" s="1" t="s">
        <v>22</v>
      </c>
      <c r="K35" s="1" t="n">
        <v>68.2</v>
      </c>
    </row>
    <row r="36" customFormat="false" ht="15.75" hidden="false" customHeight="true" outlineLevel="0" collapsed="false">
      <c r="A36" s="1" t="s">
        <v>21</v>
      </c>
      <c r="B36" s="1" t="n">
        <f aca="false">100*(1-LN(1+C36)/LN(1+MAX($C$2:$C$209)))</f>
        <v>87.9187087438419</v>
      </c>
      <c r="C36" s="1" t="n">
        <v>0.691</v>
      </c>
      <c r="D36" s="1" t="n">
        <v>2023</v>
      </c>
      <c r="G36" s="1" t="s">
        <v>22</v>
      </c>
      <c r="H36" s="1" t="n">
        <v>68.2</v>
      </c>
      <c r="J36" s="1" t="s">
        <v>54</v>
      </c>
      <c r="K36" s="1" t="n">
        <v>67.9</v>
      </c>
    </row>
    <row r="37" customFormat="false" ht="15.75" hidden="false" customHeight="true" outlineLevel="0" collapsed="false">
      <c r="A37" s="1" t="s">
        <v>33</v>
      </c>
      <c r="B37" s="1" t="n">
        <f aca="false">100*(1-LN(1+C37)/LN(1+MAX($C$2:$C$209)))</f>
        <v>87.8915243878674</v>
      </c>
      <c r="C37" s="1" t="n">
        <v>0.693</v>
      </c>
      <c r="D37" s="1" t="n">
        <v>2022</v>
      </c>
      <c r="G37" s="1" t="s">
        <v>27</v>
      </c>
      <c r="H37" s="1" t="n">
        <v>67.6</v>
      </c>
      <c r="J37" s="1" t="s">
        <v>65</v>
      </c>
      <c r="K37" s="1" t="n">
        <v>67.7</v>
      </c>
    </row>
    <row r="38" customFormat="false" ht="15.75" hidden="false" customHeight="true" outlineLevel="0" collapsed="false">
      <c r="A38" s="1" t="s">
        <v>54</v>
      </c>
      <c r="B38" s="1" t="n">
        <f aca="false">100*(1-LN(1+C38)/LN(1+MAX($C$2:$C$209)))</f>
        <v>87.5276463094343</v>
      </c>
      <c r="C38" s="1" t="n">
        <v>0.72</v>
      </c>
      <c r="D38" s="1" t="n">
        <v>2022</v>
      </c>
      <c r="G38" s="1" t="s">
        <v>50</v>
      </c>
      <c r="H38" s="1" t="n">
        <v>67.2</v>
      </c>
      <c r="J38" s="1" t="s">
        <v>50</v>
      </c>
      <c r="K38" s="1" t="n">
        <v>67.6</v>
      </c>
    </row>
    <row r="39" customFormat="false" ht="15.75" hidden="false" customHeight="true" outlineLevel="0" collapsed="false">
      <c r="A39" s="1" t="s">
        <v>55</v>
      </c>
      <c r="B39" s="1" t="n">
        <f aca="false">100*(1-LN(1+C39)/LN(1+MAX($C$2:$C$209)))</f>
        <v>87.4875685255885</v>
      </c>
      <c r="C39" s="1" t="n">
        <v>0.723</v>
      </c>
      <c r="D39" s="1" t="n">
        <v>2023</v>
      </c>
      <c r="G39" s="1" t="s">
        <v>65</v>
      </c>
      <c r="H39" s="1" t="n">
        <v>66.9</v>
      </c>
      <c r="J39" s="1" t="s">
        <v>27</v>
      </c>
      <c r="K39" s="1" t="n">
        <v>67.2</v>
      </c>
    </row>
    <row r="40" customFormat="false" ht="15.75" hidden="false" customHeight="true" outlineLevel="0" collapsed="false">
      <c r="A40" s="1" t="s">
        <v>16</v>
      </c>
      <c r="B40" s="1" t="n">
        <f aca="false">100*(1-LN(1+C40)/LN(1+MAX($C$2:$C$209)))</f>
        <v>87.4608887517418</v>
      </c>
      <c r="C40" s="1" t="n">
        <v>0.725</v>
      </c>
      <c r="D40" s="1" t="n">
        <v>2023</v>
      </c>
      <c r="G40" s="1" t="s">
        <v>55</v>
      </c>
      <c r="H40" s="1" t="n">
        <v>66.8</v>
      </c>
      <c r="J40" s="1" t="s">
        <v>16</v>
      </c>
      <c r="K40" s="1" t="n">
        <v>67</v>
      </c>
    </row>
    <row r="41" customFormat="false" ht="15.75" hidden="false" customHeight="true" outlineLevel="0" collapsed="false">
      <c r="A41" s="1" t="s">
        <v>68</v>
      </c>
      <c r="B41" s="1" t="n">
        <f aca="false">100*(1-LN(1+C41)/LN(1+MAX($C$2:$C$209)))</f>
        <v>87.3412113135371</v>
      </c>
      <c r="C41" s="1" t="n">
        <v>0.734</v>
      </c>
      <c r="D41" s="1" t="n">
        <v>2023</v>
      </c>
      <c r="G41" s="1" t="s">
        <v>54</v>
      </c>
      <c r="H41" s="1" t="n">
        <v>66.7</v>
      </c>
      <c r="J41" s="1" t="s">
        <v>45</v>
      </c>
      <c r="K41" s="1" t="n">
        <v>66.9</v>
      </c>
    </row>
    <row r="42" customFormat="false" ht="15.75" hidden="false" customHeight="true" outlineLevel="0" collapsed="false">
      <c r="A42" s="1" t="s">
        <v>47</v>
      </c>
      <c r="B42" s="1" t="n">
        <f aca="false">100*(1-LN(1+C42)/LN(1+MAX($C$2:$C$209)))</f>
        <v>86.8946349036275</v>
      </c>
      <c r="C42" s="1" t="n">
        <v>0.768</v>
      </c>
      <c r="D42" s="1" t="n">
        <v>2023</v>
      </c>
      <c r="G42" s="1" t="s">
        <v>45</v>
      </c>
      <c r="H42" s="1" t="n">
        <v>66.4</v>
      </c>
      <c r="J42" s="1" t="s">
        <v>55</v>
      </c>
      <c r="K42" s="1" t="n">
        <v>66.3</v>
      </c>
    </row>
    <row r="43" customFormat="false" ht="15.75" hidden="false" customHeight="true" outlineLevel="0" collapsed="false">
      <c r="A43" s="1" t="s">
        <v>64</v>
      </c>
      <c r="B43" s="1" t="n">
        <f aca="false">100*(1-LN(1+C43)/LN(1+MAX($C$2:$C$209)))</f>
        <v>86.6230786352221</v>
      </c>
      <c r="C43" s="1" t="n">
        <v>0.789</v>
      </c>
      <c r="D43" s="1" t="n">
        <v>2023</v>
      </c>
      <c r="G43" s="1" t="s">
        <v>16</v>
      </c>
      <c r="H43" s="1" t="n">
        <v>66.4</v>
      </c>
      <c r="J43" s="1" t="s">
        <v>13</v>
      </c>
      <c r="K43" s="1" t="n">
        <v>65.8</v>
      </c>
    </row>
    <row r="44" customFormat="false" ht="15.75" hidden="false" customHeight="true" outlineLevel="0" collapsed="false">
      <c r="A44" s="1" t="s">
        <v>51</v>
      </c>
      <c r="B44" s="1" t="n">
        <f aca="false">100*(1-LN(1+C44)/LN(1+MAX($C$2:$C$209)))</f>
        <v>86.456565230444</v>
      </c>
      <c r="C44" s="1" t="n">
        <v>0.802</v>
      </c>
      <c r="D44" s="1" t="n">
        <v>2023</v>
      </c>
      <c r="G44" s="1" t="s">
        <v>64</v>
      </c>
      <c r="H44" s="1" t="n">
        <v>66.4</v>
      </c>
      <c r="J44" s="1" t="s">
        <v>113</v>
      </c>
      <c r="K44" s="1" t="n">
        <v>65.6</v>
      </c>
    </row>
    <row r="45" customFormat="false" ht="15.75" hidden="false" customHeight="true" outlineLevel="0" collapsed="false">
      <c r="A45" s="1" t="s">
        <v>59</v>
      </c>
      <c r="B45" s="1" t="n">
        <f aca="false">100*(1-LN(1+C45)/LN(1+MAX($C$2:$C$209)))</f>
        <v>85.9766342643228</v>
      </c>
      <c r="C45" s="1" t="n">
        <v>0.84</v>
      </c>
      <c r="D45" s="1" t="n">
        <v>2023</v>
      </c>
      <c r="G45" s="1" t="s">
        <v>13</v>
      </c>
      <c r="H45" s="1" t="n">
        <v>66.4</v>
      </c>
      <c r="J45" s="1" t="s">
        <v>64</v>
      </c>
      <c r="K45" s="1" t="n">
        <v>64.6</v>
      </c>
    </row>
    <row r="46" customFormat="false" ht="15.75" hidden="false" customHeight="true" outlineLevel="0" collapsed="false">
      <c r="A46" s="1" t="s">
        <v>18</v>
      </c>
      <c r="B46" s="1" t="n">
        <f aca="false">100*(1-LN(1+C46)/LN(1+MAX($C$2:$C$209)))</f>
        <v>85.9641387668806</v>
      </c>
      <c r="C46" s="1" t="n">
        <v>0.841</v>
      </c>
      <c r="D46" s="1" t="n">
        <v>2023</v>
      </c>
      <c r="G46" s="1" t="s">
        <v>58</v>
      </c>
      <c r="H46" s="1" t="n">
        <v>64.8</v>
      </c>
      <c r="J46" s="1" t="s">
        <v>58</v>
      </c>
      <c r="K46" s="1" t="n">
        <v>63.9</v>
      </c>
    </row>
    <row r="47" customFormat="false" ht="15.75" hidden="false" customHeight="true" outlineLevel="0" collapsed="false">
      <c r="A47" s="1" t="s">
        <v>20</v>
      </c>
      <c r="B47" s="1" t="n">
        <f aca="false">100*(1-LN(1+C47)/LN(1+MAX($C$2:$C$209)))</f>
        <v>85.8023121115134</v>
      </c>
      <c r="C47" s="1" t="n">
        <v>0.854</v>
      </c>
      <c r="D47" s="1" t="n">
        <v>2023</v>
      </c>
      <c r="G47" s="1" t="s">
        <v>113</v>
      </c>
      <c r="H47" s="1" t="n">
        <v>64.3</v>
      </c>
      <c r="J47" s="1" t="s">
        <v>41</v>
      </c>
      <c r="K47" s="1" t="n">
        <v>63.4</v>
      </c>
    </row>
    <row r="48" customFormat="false" ht="15.75" hidden="false" customHeight="true" outlineLevel="0" collapsed="false">
      <c r="A48" s="1" t="s">
        <v>28</v>
      </c>
      <c r="B48" s="1" t="n">
        <f aca="false">100*(1-LN(1+C48)/LN(1+MAX($C$2:$C$209)))</f>
        <v>85.5310193277919</v>
      </c>
      <c r="C48" s="1" t="n">
        <v>0.876</v>
      </c>
      <c r="D48" s="1" t="n">
        <v>2023</v>
      </c>
      <c r="G48" s="1" t="s">
        <v>57</v>
      </c>
      <c r="H48" s="1" t="n">
        <v>64</v>
      </c>
      <c r="J48" s="1" t="s">
        <v>110</v>
      </c>
      <c r="K48" s="1" t="n">
        <v>63.3</v>
      </c>
    </row>
    <row r="49" customFormat="false" ht="15.75" hidden="false" customHeight="true" outlineLevel="0" collapsed="false">
      <c r="A49" s="1" t="s">
        <v>98</v>
      </c>
      <c r="B49" s="1" t="n">
        <f aca="false">100*(1-LN(1+C49)/LN(1+MAX($C$2:$C$209)))</f>
        <v>85.3357063706537</v>
      </c>
      <c r="C49" s="1" t="n">
        <v>0.892</v>
      </c>
      <c r="D49" s="1" t="n">
        <v>2020</v>
      </c>
      <c r="G49" s="1" t="s">
        <v>110</v>
      </c>
      <c r="H49" s="1" t="n">
        <v>63.9</v>
      </c>
      <c r="J49" s="1" t="s">
        <v>57</v>
      </c>
      <c r="K49" s="1" t="n">
        <v>62.9</v>
      </c>
    </row>
    <row r="50" customFormat="false" ht="15.75" hidden="false" customHeight="true" outlineLevel="0" collapsed="false">
      <c r="A50" s="1" t="s">
        <v>185</v>
      </c>
      <c r="B50" s="1" t="n">
        <f aca="false">100*(1-LN(1+C50)/LN(1+MAX($C$2:$C$209)))</f>
        <v>85.1540947729446</v>
      </c>
      <c r="C50" s="1" t="n">
        <v>0.907</v>
      </c>
      <c r="D50" s="1" t="n">
        <v>2019</v>
      </c>
      <c r="G50" s="1" t="s">
        <v>86</v>
      </c>
      <c r="H50" s="1" t="n">
        <v>63.6</v>
      </c>
      <c r="J50" s="1" t="s">
        <v>67</v>
      </c>
      <c r="K50" s="1" t="n">
        <v>62.8</v>
      </c>
    </row>
    <row r="51" customFormat="false" ht="15.75" hidden="false" customHeight="true" outlineLevel="0" collapsed="false">
      <c r="A51" s="1" t="s">
        <v>25</v>
      </c>
      <c r="B51" s="1" t="n">
        <f aca="false">100*(1-LN(1+C51)/LN(1+MAX($C$2:$C$209)))</f>
        <v>85.1059062535294</v>
      </c>
      <c r="C51" s="1" t="n">
        <v>0.911</v>
      </c>
      <c r="D51" s="1" t="n">
        <v>2023</v>
      </c>
      <c r="G51" s="1" t="s">
        <v>67</v>
      </c>
      <c r="H51" s="1" t="n">
        <v>63.1</v>
      </c>
      <c r="J51" s="1" t="s">
        <v>86</v>
      </c>
      <c r="K51" s="1" t="n">
        <v>62.7</v>
      </c>
    </row>
    <row r="52" customFormat="false" ht="15.75" hidden="false" customHeight="true" outlineLevel="0" collapsed="false">
      <c r="A52" s="1" t="s">
        <v>44</v>
      </c>
      <c r="B52" s="1" t="n">
        <f aca="false">100*(1-LN(1+C52)/LN(1+MAX($C$2:$C$209)))</f>
        <v>84.8188764750254</v>
      </c>
      <c r="C52" s="1" t="n">
        <v>0.935</v>
      </c>
      <c r="D52" s="1" t="n">
        <v>2019</v>
      </c>
      <c r="G52" s="1" t="s">
        <v>41</v>
      </c>
      <c r="H52" s="1" t="n">
        <v>61.9</v>
      </c>
      <c r="J52" s="1" t="s">
        <v>66</v>
      </c>
      <c r="K52" s="1" t="n">
        <v>61.3</v>
      </c>
    </row>
    <row r="53" customFormat="false" ht="15.75" hidden="false" customHeight="true" outlineLevel="0" collapsed="false">
      <c r="A53" s="1" t="s">
        <v>186</v>
      </c>
      <c r="B53" s="1" t="n">
        <f aca="false">100*(1-LN(1+C53)/LN(1+MAX($C$2:$C$209)))</f>
        <v>84.6885089075595</v>
      </c>
      <c r="C53" s="1" t="n">
        <v>0.946</v>
      </c>
      <c r="D53" s="1" t="n">
        <v>2019</v>
      </c>
      <c r="G53" s="1" t="s">
        <v>66</v>
      </c>
      <c r="H53" s="1" t="n">
        <v>61.9</v>
      </c>
      <c r="J53" s="1" t="s">
        <v>25</v>
      </c>
      <c r="K53" s="1" t="n">
        <v>60.6</v>
      </c>
    </row>
    <row r="54" customFormat="false" ht="15.75" hidden="false" customHeight="true" outlineLevel="0" collapsed="false">
      <c r="A54" s="1" t="s">
        <v>45</v>
      </c>
      <c r="B54" s="1" t="n">
        <f aca="false">100*(1-LN(1+C54)/LN(1+MAX($C$2:$C$209)))</f>
        <v>84.5588761855241</v>
      </c>
      <c r="C54" s="1" t="n">
        <v>0.957</v>
      </c>
      <c r="D54" s="1" t="n">
        <v>2024</v>
      </c>
      <c r="G54" s="1" t="s">
        <v>187</v>
      </c>
      <c r="H54" s="1" t="n">
        <v>61.4</v>
      </c>
      <c r="J54" s="1" t="s">
        <v>75</v>
      </c>
      <c r="K54" s="1" t="n">
        <v>60</v>
      </c>
    </row>
    <row r="55" customFormat="false" ht="15.75" hidden="false" customHeight="true" outlineLevel="0" collapsed="false">
      <c r="A55" s="1" t="s">
        <v>32</v>
      </c>
      <c r="B55" s="1" t="n">
        <f aca="false">100*(1-LN(1+C55)/LN(1+MAX($C$2:$C$209)))</f>
        <v>84.2669458569725</v>
      </c>
      <c r="C55" s="1" t="n">
        <v>0.982</v>
      </c>
      <c r="D55" s="1" t="n">
        <v>2023</v>
      </c>
      <c r="G55" s="1" t="s">
        <v>25</v>
      </c>
      <c r="H55" s="1" t="n">
        <v>61</v>
      </c>
      <c r="J55" s="1" t="s">
        <v>83</v>
      </c>
      <c r="K55" s="1" t="n">
        <v>59.2</v>
      </c>
    </row>
    <row r="56" customFormat="false" ht="15.75" hidden="false" customHeight="true" outlineLevel="0" collapsed="false">
      <c r="A56" s="1" t="s">
        <v>75</v>
      </c>
      <c r="B56" s="1" t="n">
        <f aca="false">100*(1-LN(1+C56)/LN(1+MAX($C$2:$C$209)))</f>
        <v>84.1974305522266</v>
      </c>
      <c r="C56" s="1" t="n">
        <v>0.988</v>
      </c>
      <c r="D56" s="1" t="n">
        <v>2023</v>
      </c>
      <c r="G56" s="1" t="s">
        <v>92</v>
      </c>
      <c r="H56" s="1" t="n">
        <v>60.5</v>
      </c>
      <c r="J56" s="1" t="s">
        <v>97</v>
      </c>
      <c r="K56" s="1" t="n">
        <v>59.2</v>
      </c>
    </row>
    <row r="57" customFormat="false" ht="15.75" hidden="false" customHeight="true" outlineLevel="0" collapsed="false">
      <c r="A57" s="1" t="s">
        <v>188</v>
      </c>
      <c r="B57" s="1" t="n">
        <f aca="false">100*(1-LN(1+C57)/LN(1+MAX($C$2:$C$209)))</f>
        <v>84.0590271507016</v>
      </c>
      <c r="C57" s="1" t="n">
        <v>1</v>
      </c>
      <c r="D57" s="1" t="n">
        <v>2020</v>
      </c>
      <c r="G57" s="1" t="s">
        <v>75</v>
      </c>
      <c r="H57" s="1" t="n">
        <v>60.4</v>
      </c>
      <c r="J57" s="1" t="s">
        <v>79</v>
      </c>
      <c r="K57" s="1" t="n">
        <v>58.9</v>
      </c>
    </row>
    <row r="58" customFormat="false" ht="15.75" hidden="false" customHeight="true" outlineLevel="0" collapsed="false">
      <c r="A58" s="1" t="s">
        <v>118</v>
      </c>
      <c r="B58" s="1" t="n">
        <f aca="false">100*(1-LN(1+C58)/LN(1+MAX($C$2:$C$209)))</f>
        <v>83.8986022477399</v>
      </c>
      <c r="C58" s="1" t="n">
        <v>1.014</v>
      </c>
      <c r="D58" s="1" t="n">
        <v>2015</v>
      </c>
      <c r="G58" s="1" t="s">
        <v>97</v>
      </c>
      <c r="H58" s="1" t="n">
        <v>60.2</v>
      </c>
      <c r="J58" s="1" t="s">
        <v>62</v>
      </c>
      <c r="K58" s="1" t="n">
        <v>58.8</v>
      </c>
    </row>
    <row r="59" customFormat="false" ht="15.75" hidden="false" customHeight="true" outlineLevel="0" collapsed="false">
      <c r="A59" s="1" t="s">
        <v>30</v>
      </c>
      <c r="B59" s="1" t="n">
        <f aca="false">100*(1-LN(1+C59)/LN(1+MAX($C$2:$C$209)))</f>
        <v>83.1570306612959</v>
      </c>
      <c r="C59" s="1" t="n">
        <v>1.08</v>
      </c>
      <c r="D59" s="1" t="n">
        <v>2021</v>
      </c>
      <c r="G59" s="1" t="s">
        <v>69</v>
      </c>
      <c r="H59" s="1" t="n">
        <v>59.3</v>
      </c>
      <c r="J59" s="1" t="s">
        <v>69</v>
      </c>
      <c r="K59" s="1" t="n">
        <v>58.3</v>
      </c>
    </row>
    <row r="60" customFormat="false" ht="15.75" hidden="false" customHeight="true" outlineLevel="0" collapsed="false">
      <c r="A60" s="1" t="s">
        <v>58</v>
      </c>
      <c r="B60" s="1" t="n">
        <f aca="false">100*(1-LN(1+C60)/LN(1+MAX($C$2:$C$209)))</f>
        <v>83.0577349146764</v>
      </c>
      <c r="C60" s="1" t="n">
        <v>1.089</v>
      </c>
      <c r="D60" s="1" t="n">
        <v>2023</v>
      </c>
      <c r="G60" s="1" t="s">
        <v>79</v>
      </c>
      <c r="H60" s="1" t="n">
        <v>58.9</v>
      </c>
      <c r="J60" s="1" t="s">
        <v>109</v>
      </c>
      <c r="K60" s="1" t="n">
        <v>57.9</v>
      </c>
    </row>
    <row r="61" customFormat="false" ht="15.75" hidden="false" customHeight="true" outlineLevel="0" collapsed="false">
      <c r="A61" s="1" t="s">
        <v>23</v>
      </c>
      <c r="B61" s="1" t="n">
        <f aca="false">100*(1-LN(1+C61)/LN(1+MAX($C$2:$C$209)))</f>
        <v>82.7298116429381</v>
      </c>
      <c r="C61" s="1" t="n">
        <v>1.119</v>
      </c>
      <c r="D61" s="1" t="n">
        <v>2021</v>
      </c>
      <c r="G61" s="1" t="s">
        <v>83</v>
      </c>
      <c r="H61" s="1" t="n">
        <v>58.8</v>
      </c>
      <c r="J61" s="1" t="s">
        <v>70</v>
      </c>
      <c r="K61" s="1" t="n">
        <v>57.3</v>
      </c>
    </row>
    <row r="62" customFormat="false" ht="15.75" hidden="false" customHeight="true" outlineLevel="0" collapsed="false">
      <c r="A62" s="1" t="s">
        <v>189</v>
      </c>
      <c r="B62" s="1" t="n">
        <f aca="false">100*(1-LN(1+C62)/LN(1+MAX($C$2:$C$209)))</f>
        <v>82.7298116429381</v>
      </c>
      <c r="C62" s="1" t="n">
        <v>1.119</v>
      </c>
      <c r="D62" s="1" t="n">
        <v>2017</v>
      </c>
      <c r="G62" s="1" t="s">
        <v>62</v>
      </c>
      <c r="H62" s="1" t="n">
        <v>58.5</v>
      </c>
      <c r="J62" s="1" t="s">
        <v>184</v>
      </c>
      <c r="K62" s="1" t="n">
        <v>57.2</v>
      </c>
    </row>
    <row r="63" customFormat="false" ht="15.75" hidden="false" customHeight="true" outlineLevel="0" collapsed="false">
      <c r="A63" s="1" t="s">
        <v>65</v>
      </c>
      <c r="B63" s="1" t="n">
        <f aca="false">100*(1-LN(1+C63)/LN(1+MAX($C$2:$C$209)))</f>
        <v>82.7189609881123</v>
      </c>
      <c r="C63" s="1" t="n">
        <v>1.12</v>
      </c>
      <c r="D63" s="1" t="n">
        <v>2024</v>
      </c>
      <c r="G63" s="1" t="s">
        <v>111</v>
      </c>
      <c r="H63" s="1" t="n">
        <v>57.8</v>
      </c>
      <c r="J63" s="1" t="s">
        <v>46</v>
      </c>
      <c r="K63" s="1" t="n">
        <v>57</v>
      </c>
    </row>
    <row r="64" customFormat="false" ht="15.75" hidden="false" customHeight="true" outlineLevel="0" collapsed="false">
      <c r="A64" s="1" t="s">
        <v>56</v>
      </c>
      <c r="B64" s="1" t="n">
        <f aca="false">100*(1-LN(1+C64)/LN(1+MAX($C$2:$C$209)))</f>
        <v>82.6756094908711</v>
      </c>
      <c r="C64" s="1" t="n">
        <v>1.124</v>
      </c>
      <c r="D64" s="1" t="n">
        <v>2023</v>
      </c>
      <c r="G64" s="1" t="s">
        <v>70</v>
      </c>
      <c r="H64" s="1" t="n">
        <v>57.6</v>
      </c>
      <c r="J64" s="1" t="s">
        <v>102</v>
      </c>
      <c r="K64" s="1" t="n">
        <v>56.9</v>
      </c>
    </row>
    <row r="65" customFormat="false" ht="15.75" hidden="false" customHeight="true" outlineLevel="0" collapsed="false">
      <c r="A65" s="1" t="s">
        <v>29</v>
      </c>
      <c r="B65" s="1" t="n">
        <f aca="false">100*(1-LN(1+C65)/LN(1+MAX($C$2:$C$209)))</f>
        <v>82.4279118789546</v>
      </c>
      <c r="C65" s="1" t="n">
        <v>1.147</v>
      </c>
      <c r="D65" s="1" t="n">
        <v>2023</v>
      </c>
      <c r="G65" s="1" t="s">
        <v>109</v>
      </c>
      <c r="H65" s="1" t="n">
        <v>57.5</v>
      </c>
      <c r="J65" s="1" t="s">
        <v>92</v>
      </c>
      <c r="K65" s="1" t="n">
        <v>56.9</v>
      </c>
    </row>
    <row r="66" customFormat="false" ht="15.75" hidden="false" customHeight="true" outlineLevel="0" collapsed="false">
      <c r="A66" s="1" t="s">
        <v>103</v>
      </c>
      <c r="B66" s="1" t="n">
        <f aca="false">100*(1-LN(1+C66)/LN(1+MAX($C$2:$C$209)))</f>
        <v>82.2784352735108</v>
      </c>
      <c r="C66" s="1" t="n">
        <v>1.161</v>
      </c>
      <c r="D66" s="1" t="n">
        <v>2023</v>
      </c>
      <c r="G66" s="1" t="s">
        <v>46</v>
      </c>
      <c r="H66" s="1" t="n">
        <v>57</v>
      </c>
      <c r="J66" s="1" t="s">
        <v>111</v>
      </c>
      <c r="K66" s="1" t="n">
        <v>56.3</v>
      </c>
    </row>
    <row r="67" customFormat="false" ht="15.75" hidden="false" customHeight="true" outlineLevel="0" collapsed="false">
      <c r="A67" s="1" t="s">
        <v>69</v>
      </c>
      <c r="B67" s="1" t="n">
        <f aca="false">100*(1-LN(1+C67)/LN(1+MAX($C$2:$C$209)))</f>
        <v>81.6175589505288</v>
      </c>
      <c r="C67" s="1" t="n">
        <v>1.224</v>
      </c>
      <c r="D67" s="1" t="n">
        <v>2023</v>
      </c>
      <c r="G67" s="1" t="s">
        <v>148</v>
      </c>
      <c r="H67" s="1" t="n">
        <v>56.8</v>
      </c>
      <c r="J67" s="1" t="s">
        <v>96</v>
      </c>
      <c r="K67" s="1" t="n">
        <v>55.7</v>
      </c>
    </row>
    <row r="68" customFormat="false" ht="15.75" hidden="false" customHeight="true" outlineLevel="0" collapsed="false">
      <c r="A68" s="1" t="s">
        <v>14</v>
      </c>
      <c r="B68" s="1" t="n">
        <f aca="false">100*(1-LN(1+C68)/LN(1+MAX($C$2:$C$209)))</f>
        <v>80.9449963896715</v>
      </c>
      <c r="C68" s="1" t="n">
        <v>1.29</v>
      </c>
      <c r="D68" s="1" t="n">
        <v>2023</v>
      </c>
      <c r="G68" s="1" t="s">
        <v>102</v>
      </c>
      <c r="H68" s="1" t="n">
        <v>56.6</v>
      </c>
      <c r="J68" s="1" t="s">
        <v>74</v>
      </c>
      <c r="K68" s="1" t="n">
        <v>55.7</v>
      </c>
    </row>
    <row r="69" customFormat="false" ht="15.75" hidden="false" customHeight="true" outlineLevel="0" collapsed="false">
      <c r="A69" s="1" t="s">
        <v>112</v>
      </c>
      <c r="B69" s="1" t="n">
        <f aca="false">100*(1-LN(1+C69)/LN(1+MAX($C$2:$C$209)))</f>
        <v>80.7251098060924</v>
      </c>
      <c r="C69" s="1" t="n">
        <v>1.312</v>
      </c>
      <c r="D69" s="1" t="n">
        <v>2017</v>
      </c>
      <c r="G69" s="1" t="s">
        <v>184</v>
      </c>
      <c r="H69" s="1" t="n">
        <v>55.9</v>
      </c>
      <c r="J69" s="1" t="s">
        <v>76</v>
      </c>
      <c r="K69" s="1" t="n">
        <v>55.3</v>
      </c>
    </row>
    <row r="70" customFormat="false" ht="15.75" hidden="false" customHeight="true" outlineLevel="0" collapsed="false">
      <c r="A70" s="1" t="s">
        <v>67</v>
      </c>
      <c r="B70" s="1" t="n">
        <f aca="false">100*(1-LN(1+C70)/LN(1+MAX($C$2:$C$209)))</f>
        <v>80.7052239747828</v>
      </c>
      <c r="C70" s="1" t="n">
        <v>1.314</v>
      </c>
      <c r="D70" s="1" t="n">
        <v>2023</v>
      </c>
      <c r="G70" s="1" t="s">
        <v>96</v>
      </c>
      <c r="H70" s="1" t="n">
        <v>55.8</v>
      </c>
      <c r="J70" s="1" t="s">
        <v>190</v>
      </c>
      <c r="K70" s="1" t="n">
        <v>55.1</v>
      </c>
    </row>
    <row r="71" customFormat="false" ht="15.75" hidden="false" customHeight="true" outlineLevel="0" collapsed="false">
      <c r="A71" s="1" t="s">
        <v>34</v>
      </c>
      <c r="B71" s="1" t="n">
        <f aca="false">100*(1-LN(1+C71)/LN(1+MAX($C$2:$C$209)))</f>
        <v>80.3697694111849</v>
      </c>
      <c r="C71" s="1" t="n">
        <v>1.348</v>
      </c>
      <c r="D71" s="1" t="n">
        <v>2024</v>
      </c>
      <c r="G71" s="1" t="s">
        <v>76</v>
      </c>
      <c r="H71" s="1" t="n">
        <v>55.7</v>
      </c>
      <c r="J71" s="1" t="s">
        <v>101</v>
      </c>
      <c r="K71" s="1" t="n">
        <v>54.9</v>
      </c>
    </row>
    <row r="72" customFormat="false" ht="15.75" hidden="false" customHeight="true" outlineLevel="0" collapsed="false">
      <c r="A72" s="1" t="s">
        <v>89</v>
      </c>
      <c r="B72" s="1" t="n">
        <f aca="false">100*(1-LN(1+C72)/LN(1+MAX($C$2:$C$209)))</f>
        <v>79.8755873101447</v>
      </c>
      <c r="C72" s="1" t="n">
        <v>1.399</v>
      </c>
      <c r="D72" s="1" t="n">
        <v>2021</v>
      </c>
      <c r="G72" s="1" t="s">
        <v>101</v>
      </c>
      <c r="H72" s="1" t="n">
        <v>55.5</v>
      </c>
      <c r="J72" s="1" t="s">
        <v>80</v>
      </c>
      <c r="K72" s="1" t="n">
        <v>54.8</v>
      </c>
    </row>
    <row r="73" customFormat="false" ht="15.75" hidden="false" customHeight="true" outlineLevel="0" collapsed="false">
      <c r="A73" s="1" t="s">
        <v>35</v>
      </c>
      <c r="B73" s="1" t="n">
        <f aca="false">100*(1-LN(1+C73)/LN(1+MAX($C$2:$C$209)))</f>
        <v>79.2887761854769</v>
      </c>
      <c r="C73" s="1" t="n">
        <v>1.461</v>
      </c>
      <c r="D73" s="1" t="n">
        <v>2022</v>
      </c>
      <c r="G73" s="1" t="s">
        <v>74</v>
      </c>
      <c r="H73" s="1" t="n">
        <v>55.4</v>
      </c>
      <c r="J73" s="1" t="s">
        <v>148</v>
      </c>
      <c r="K73" s="1" t="n">
        <v>54.6</v>
      </c>
    </row>
    <row r="74" customFormat="false" ht="15.75" hidden="false" customHeight="true" outlineLevel="0" collapsed="false">
      <c r="A74" s="1" t="s">
        <v>79</v>
      </c>
      <c r="B74" s="1" t="n">
        <f aca="false">100*(1-LN(1+C74)/LN(1+MAX($C$2:$C$209)))</f>
        <v>78.6619392061989</v>
      </c>
      <c r="C74" s="1" t="n">
        <v>1.529</v>
      </c>
      <c r="D74" s="1" t="n">
        <v>2023</v>
      </c>
      <c r="G74" s="1" t="s">
        <v>190</v>
      </c>
      <c r="H74" s="1" t="n">
        <v>55.3</v>
      </c>
      <c r="J74" s="1" t="s">
        <v>191</v>
      </c>
      <c r="K74" s="1" t="n">
        <v>54.5</v>
      </c>
    </row>
    <row r="75" customFormat="false" ht="15.75" hidden="false" customHeight="true" outlineLevel="0" collapsed="false">
      <c r="A75" s="1" t="s">
        <v>13</v>
      </c>
      <c r="B75" s="1" t="n">
        <f aca="false">100*(1-LN(1+C75)/LN(1+MAX($C$2:$C$209)))</f>
        <v>78.6437589977607</v>
      </c>
      <c r="C75" s="1" t="n">
        <v>1.531</v>
      </c>
      <c r="D75" s="1" t="n">
        <v>2022</v>
      </c>
      <c r="G75" s="1" t="s">
        <v>80</v>
      </c>
      <c r="H75" s="1" t="n">
        <v>54.8</v>
      </c>
      <c r="J75" s="1" t="s">
        <v>144</v>
      </c>
      <c r="K75" s="1" t="n">
        <v>54.4</v>
      </c>
    </row>
    <row r="76" customFormat="false" ht="15.75" hidden="false" customHeight="true" outlineLevel="0" collapsed="false">
      <c r="A76" s="1" t="s">
        <v>97</v>
      </c>
      <c r="B76" s="1" t="n">
        <f aca="false">100*(1-LN(1+C76)/LN(1+MAX($C$2:$C$209)))</f>
        <v>78.6074416392833</v>
      </c>
      <c r="C76" s="1" t="n">
        <v>1.535</v>
      </c>
      <c r="D76" s="1" t="n">
        <v>2011</v>
      </c>
      <c r="E76" s="3" t="s">
        <v>175</v>
      </c>
      <c r="G76" s="1" t="s">
        <v>31</v>
      </c>
      <c r="H76" s="1" t="n">
        <v>54.4</v>
      </c>
      <c r="J76" s="1" t="s">
        <v>31</v>
      </c>
      <c r="K76" s="1" t="n">
        <v>54.3</v>
      </c>
    </row>
    <row r="77" customFormat="false" ht="15.75" hidden="false" customHeight="true" outlineLevel="0" collapsed="false">
      <c r="A77" s="1" t="s">
        <v>42</v>
      </c>
      <c r="B77" s="1" t="n">
        <f aca="false">100*(1-LN(1+C77)/LN(1+MAX($C$2:$C$209)))</f>
        <v>78.5983712536494</v>
      </c>
      <c r="C77" s="1" t="n">
        <v>1.536</v>
      </c>
      <c r="D77" s="1" t="n">
        <v>2023</v>
      </c>
      <c r="G77" s="1" t="s">
        <v>191</v>
      </c>
      <c r="H77" s="1" t="n">
        <v>54.4</v>
      </c>
      <c r="J77" s="1" t="s">
        <v>105</v>
      </c>
      <c r="K77" s="1" t="n">
        <v>54</v>
      </c>
    </row>
    <row r="78" customFormat="false" ht="15.75" hidden="false" customHeight="true" outlineLevel="0" collapsed="false">
      <c r="A78" s="1" t="s">
        <v>22</v>
      </c>
      <c r="B78" s="1" t="n">
        <f aca="false">100*(1-LN(1+C78)/LN(1+MAX($C$2:$C$209)))</f>
        <v>77.7963463056789</v>
      </c>
      <c r="C78" s="1" t="n">
        <v>1.626</v>
      </c>
      <c r="D78" s="1" t="n">
        <v>2022</v>
      </c>
      <c r="G78" s="1" t="s">
        <v>112</v>
      </c>
      <c r="H78" s="1" t="n">
        <v>54</v>
      </c>
      <c r="J78" s="1" t="s">
        <v>59</v>
      </c>
      <c r="K78" s="1" t="n">
        <v>53.6</v>
      </c>
    </row>
    <row r="79" customFormat="false" ht="15.75" hidden="false" customHeight="true" outlineLevel="0" collapsed="false">
      <c r="A79" s="1" t="s">
        <v>94</v>
      </c>
      <c r="B79" s="1" t="n">
        <f aca="false">100*(1-LN(1+C79)/LN(1+MAX($C$2:$C$209)))</f>
        <v>77.4400510776039</v>
      </c>
      <c r="C79" s="1" t="n">
        <v>1.667</v>
      </c>
      <c r="D79" s="1" t="n">
        <v>2024</v>
      </c>
      <c r="G79" s="1" t="s">
        <v>59</v>
      </c>
      <c r="H79" s="1" t="n">
        <v>54</v>
      </c>
      <c r="J79" s="1" t="s">
        <v>132</v>
      </c>
      <c r="K79" s="1" t="n">
        <v>53.2</v>
      </c>
    </row>
    <row r="80" customFormat="false" ht="15.75" hidden="false" customHeight="true" outlineLevel="0" collapsed="false">
      <c r="A80" s="1" t="s">
        <v>76</v>
      </c>
      <c r="B80" s="1" t="n">
        <f aca="false">100*(1-LN(1+C80)/LN(1+MAX($C$2:$C$209)))</f>
        <v>76.6934636818124</v>
      </c>
      <c r="C80" s="1" t="n">
        <v>1.755</v>
      </c>
      <c r="D80" s="1" t="n">
        <v>2024</v>
      </c>
      <c r="G80" s="1" t="s">
        <v>105</v>
      </c>
      <c r="H80" s="1" t="n">
        <v>53.8</v>
      </c>
      <c r="J80" s="1" t="s">
        <v>43</v>
      </c>
      <c r="K80" s="1" t="n">
        <v>53.1</v>
      </c>
    </row>
    <row r="81" customFormat="false" ht="15.75" hidden="false" customHeight="true" outlineLevel="0" collapsed="false">
      <c r="A81" s="1" t="s">
        <v>192</v>
      </c>
      <c r="B81" s="1" t="n">
        <f aca="false">100*(1-LN(1+C81)/LN(1+MAX($C$2:$C$209)))</f>
        <v>76.5188263530373</v>
      </c>
      <c r="C81" s="1" t="n">
        <v>1.776</v>
      </c>
      <c r="D81" s="1" t="n">
        <v>2012</v>
      </c>
      <c r="E81" s="3" t="s">
        <v>175</v>
      </c>
      <c r="G81" s="1" t="s">
        <v>132</v>
      </c>
      <c r="H81" s="1" t="n">
        <v>53.2</v>
      </c>
      <c r="J81" s="1" t="s">
        <v>90</v>
      </c>
      <c r="K81" s="1" t="n">
        <v>53</v>
      </c>
    </row>
    <row r="82" customFormat="false" ht="15.75" hidden="false" customHeight="true" outlineLevel="0" collapsed="false">
      <c r="A82" s="1" t="s">
        <v>193</v>
      </c>
      <c r="B82" s="1" t="n">
        <f aca="false">100*(1-LN(1+C82)/LN(1+MAX($C$2:$C$209)))</f>
        <v>76.4113783544627</v>
      </c>
      <c r="C82" s="1" t="n">
        <v>1.789</v>
      </c>
      <c r="D82" s="1" t="n">
        <v>2009</v>
      </c>
      <c r="E82" s="3" t="s">
        <v>175</v>
      </c>
      <c r="G82" s="1" t="s">
        <v>90</v>
      </c>
      <c r="H82" s="1" t="n">
        <v>53.1</v>
      </c>
      <c r="J82" s="1" t="s">
        <v>112</v>
      </c>
      <c r="K82" s="1" t="n">
        <v>52.7</v>
      </c>
    </row>
    <row r="83" customFormat="false" ht="15.75" hidden="false" customHeight="true" outlineLevel="0" collapsed="false">
      <c r="A83" s="1" t="s">
        <v>152</v>
      </c>
      <c r="B83" s="1" t="n">
        <f aca="false">100*(1-LN(1+C83)/LN(1+MAX($C$2:$C$209)))</f>
        <v>76.1571640217828</v>
      </c>
      <c r="C83" s="1" t="n">
        <v>1.82</v>
      </c>
      <c r="D83" s="1" t="n">
        <v>2011</v>
      </c>
      <c r="E83" s="3" t="s">
        <v>175</v>
      </c>
      <c r="G83" s="1" t="s">
        <v>144</v>
      </c>
      <c r="H83" s="1" t="n">
        <v>52.9</v>
      </c>
      <c r="J83" s="1" t="s">
        <v>20</v>
      </c>
      <c r="K83" s="1" t="n">
        <v>52.7</v>
      </c>
    </row>
    <row r="84" customFormat="false" ht="15.75" hidden="false" customHeight="true" outlineLevel="0" collapsed="false">
      <c r="A84" s="1" t="s">
        <v>148</v>
      </c>
      <c r="B84" s="1" t="n">
        <f aca="false">100*(1-LN(1+C84)/LN(1+MAX($C$2:$C$209)))</f>
        <v>76.0676301669742</v>
      </c>
      <c r="C84" s="1" t="n">
        <v>1.831</v>
      </c>
      <c r="D84" s="1" t="n">
        <v>2022</v>
      </c>
      <c r="G84" s="1" t="s">
        <v>94</v>
      </c>
      <c r="H84" s="1" t="n">
        <v>52.9</v>
      </c>
      <c r="J84" s="1" t="s">
        <v>24</v>
      </c>
      <c r="K84" s="1" t="n">
        <v>52.4</v>
      </c>
    </row>
    <row r="85" customFormat="false" ht="15.75" hidden="false" customHeight="true" outlineLevel="0" collapsed="false">
      <c r="A85" s="1" t="s">
        <v>83</v>
      </c>
      <c r="B85" s="1" t="n">
        <f aca="false">100*(1-LN(1+C85)/LN(1+MAX($C$2:$C$209)))</f>
        <v>75.5535083034334</v>
      </c>
      <c r="C85" s="1" t="n">
        <v>1.895</v>
      </c>
      <c r="D85" s="1" t="n">
        <v>2021</v>
      </c>
      <c r="G85" s="1" t="s">
        <v>20</v>
      </c>
      <c r="H85" s="1" t="n">
        <v>52.6</v>
      </c>
      <c r="J85" s="1" t="s">
        <v>94</v>
      </c>
      <c r="K85" s="1" t="n">
        <v>52.2</v>
      </c>
    </row>
    <row r="86" customFormat="false" ht="15.75" hidden="false" customHeight="true" outlineLevel="0" collapsed="false">
      <c r="A86" s="1" t="s">
        <v>194</v>
      </c>
      <c r="B86" s="1" t="n">
        <f aca="false">100*(1-LN(1+C86)/LN(1+MAX($C$2:$C$209)))</f>
        <v>75.2379223911591</v>
      </c>
      <c r="C86" s="1" t="n">
        <v>1.935</v>
      </c>
      <c r="D86" s="1" t="n">
        <v>2014</v>
      </c>
      <c r="E86" s="3" t="s">
        <v>175</v>
      </c>
      <c r="G86" s="1" t="s">
        <v>43</v>
      </c>
      <c r="H86" s="1" t="n">
        <v>52.6</v>
      </c>
      <c r="J86" s="1" t="s">
        <v>29</v>
      </c>
      <c r="K86" s="1" t="n">
        <v>52</v>
      </c>
    </row>
    <row r="87" customFormat="false" ht="15.75" hidden="false" customHeight="true" outlineLevel="0" collapsed="false">
      <c r="A87" s="1" t="s">
        <v>195</v>
      </c>
      <c r="B87" s="1" t="n">
        <f aca="false">100*(1-LN(1+C87)/LN(1+MAX($C$2:$C$209)))</f>
        <v>74.91115288024</v>
      </c>
      <c r="C87" s="1" t="n">
        <v>1.977</v>
      </c>
      <c r="D87" s="1" t="n">
        <v>2024</v>
      </c>
      <c r="G87" s="1" t="s">
        <v>78</v>
      </c>
      <c r="H87" s="1" t="n">
        <v>52.2</v>
      </c>
      <c r="J87" s="1" t="s">
        <v>35</v>
      </c>
      <c r="K87" s="1" t="n">
        <v>51.8</v>
      </c>
    </row>
    <row r="88" customFormat="false" ht="15.75" hidden="false" customHeight="true" outlineLevel="0" collapsed="false">
      <c r="A88" s="1" t="s">
        <v>31</v>
      </c>
      <c r="B88" s="1" t="n">
        <f aca="false">100*(1-LN(1+C88)/LN(1+MAX($C$2:$C$209)))</f>
        <v>74.8879889073467</v>
      </c>
      <c r="C88" s="1" t="n">
        <v>1.98</v>
      </c>
      <c r="D88" s="1" t="n">
        <v>2023</v>
      </c>
      <c r="G88" s="1" t="s">
        <v>29</v>
      </c>
      <c r="H88" s="1" t="n">
        <v>52.2</v>
      </c>
      <c r="J88" s="1" t="s">
        <v>23</v>
      </c>
      <c r="K88" s="1" t="n">
        <v>51.7</v>
      </c>
    </row>
    <row r="89" customFormat="false" ht="15.75" hidden="false" customHeight="true" outlineLevel="0" collapsed="false">
      <c r="A89" s="1" t="s">
        <v>95</v>
      </c>
      <c r="B89" s="1" t="n">
        <f aca="false">100*(1-LN(1+C89)/LN(1+MAX($C$2:$C$209)))</f>
        <v>74.7878804244152</v>
      </c>
      <c r="C89" s="1" t="n">
        <v>1.993</v>
      </c>
      <c r="D89" s="1" t="n">
        <v>2024</v>
      </c>
      <c r="G89" s="1" t="s">
        <v>68</v>
      </c>
      <c r="H89" s="1" t="n">
        <v>52</v>
      </c>
      <c r="J89" s="1" t="s">
        <v>68</v>
      </c>
      <c r="K89" s="1" t="n">
        <v>51.1</v>
      </c>
    </row>
    <row r="90" customFormat="false" ht="15.75" hidden="false" customHeight="true" outlineLevel="0" collapsed="false">
      <c r="A90" s="1" t="s">
        <v>84</v>
      </c>
      <c r="B90" s="1" t="n">
        <f aca="false">100*(1-LN(1+C90)/LN(1+MAX($C$2:$C$209)))</f>
        <v>74.5205036586726</v>
      </c>
      <c r="C90" s="1" t="n">
        <v>2.028</v>
      </c>
      <c r="D90" s="1" t="n">
        <v>2019</v>
      </c>
      <c r="G90" s="1" t="s">
        <v>23</v>
      </c>
      <c r="H90" s="1" t="n">
        <v>51.8</v>
      </c>
      <c r="J90" s="1" t="s">
        <v>17</v>
      </c>
      <c r="K90" s="1" t="n">
        <v>50.8</v>
      </c>
    </row>
    <row r="91" customFormat="false" ht="15.75" hidden="false" customHeight="true" outlineLevel="0" collapsed="false">
      <c r="A91" s="1" t="s">
        <v>141</v>
      </c>
      <c r="B91" s="1" t="n">
        <f aca="false">100*(1-LN(1+C91)/LN(1+MAX($C$2:$C$209)))</f>
        <v>74.3088180913606</v>
      </c>
      <c r="C91" s="1" t="n">
        <v>2.056</v>
      </c>
      <c r="D91" s="1" t="n">
        <v>2023</v>
      </c>
      <c r="G91" s="1" t="s">
        <v>35</v>
      </c>
      <c r="H91" s="1" t="n">
        <v>51.2</v>
      </c>
      <c r="J91" s="1" t="s">
        <v>30</v>
      </c>
      <c r="K91" s="1" t="n">
        <v>50.6</v>
      </c>
    </row>
    <row r="92" customFormat="false" ht="15.75" hidden="false" customHeight="true" outlineLevel="0" collapsed="false">
      <c r="A92" s="1" t="s">
        <v>159</v>
      </c>
      <c r="B92" s="1" t="n">
        <f aca="false">100*(1-LN(1+C92)/LN(1+MAX($C$2:$C$209)))</f>
        <v>74.2862526316827</v>
      </c>
      <c r="C92" s="1" t="n">
        <v>2.059</v>
      </c>
      <c r="D92" s="1" t="n">
        <v>2010</v>
      </c>
      <c r="E92" s="3" t="s">
        <v>175</v>
      </c>
      <c r="G92" s="1" t="s">
        <v>152</v>
      </c>
      <c r="H92" s="1" t="n">
        <v>51.2</v>
      </c>
      <c r="J92" s="1" t="s">
        <v>78</v>
      </c>
      <c r="K92" s="1" t="n">
        <v>50.2</v>
      </c>
    </row>
    <row r="93" customFormat="false" ht="15.75" hidden="false" customHeight="true" outlineLevel="0" collapsed="false">
      <c r="A93" s="1" t="s">
        <v>110</v>
      </c>
      <c r="B93" s="1" t="n">
        <f aca="false">100*(1-LN(1+C93)/LN(1+MAX($C$2:$C$209)))</f>
        <v>73.7585657767172</v>
      </c>
      <c r="C93" s="1" t="n">
        <v>2.13</v>
      </c>
      <c r="D93" s="1" t="n">
        <v>2020</v>
      </c>
      <c r="G93" s="1" t="s">
        <v>24</v>
      </c>
      <c r="H93" s="1" t="n">
        <v>50.9</v>
      </c>
      <c r="J93" s="1" t="s">
        <v>72</v>
      </c>
      <c r="K93" s="1" t="n">
        <v>50</v>
      </c>
    </row>
    <row r="94" customFormat="false" ht="15.75" hidden="false" customHeight="true" outlineLevel="0" collapsed="false">
      <c r="A94" s="1" t="s">
        <v>77</v>
      </c>
      <c r="B94" s="1" t="n">
        <f aca="false">100*(1-LN(1+C94)/LN(1+MAX($C$2:$C$209)))</f>
        <v>73.1924781643133</v>
      </c>
      <c r="C94" s="1" t="n">
        <v>2.208</v>
      </c>
      <c r="D94" s="1" t="n">
        <v>2023</v>
      </c>
      <c r="G94" s="1" t="s">
        <v>17</v>
      </c>
      <c r="H94" s="1" t="n">
        <v>50.8</v>
      </c>
      <c r="J94" s="1" t="s">
        <v>106</v>
      </c>
      <c r="K94" s="1" t="n">
        <v>49.5</v>
      </c>
    </row>
    <row r="95" customFormat="false" ht="15.75" hidden="false" customHeight="true" outlineLevel="0" collapsed="false">
      <c r="A95" s="1" t="s">
        <v>196</v>
      </c>
      <c r="B95" s="1" t="n">
        <f aca="false">100*(1-LN(1+C95)/LN(1+MAX($C$2:$C$209)))</f>
        <v>73.0780602045438</v>
      </c>
      <c r="C95" s="1" t="n">
        <v>2.224</v>
      </c>
      <c r="D95" s="1" t="n">
        <v>2020</v>
      </c>
      <c r="G95" s="1" t="s">
        <v>72</v>
      </c>
      <c r="H95" s="1" t="n">
        <v>50.7</v>
      </c>
      <c r="J95" s="1" t="s">
        <v>139</v>
      </c>
      <c r="K95" s="1" t="n">
        <v>49.3</v>
      </c>
    </row>
    <row r="96" customFormat="false" ht="15.75" hidden="false" customHeight="true" outlineLevel="0" collapsed="false">
      <c r="A96" s="1" t="s">
        <v>132</v>
      </c>
      <c r="B96" s="1" t="n">
        <f aca="false">100*(1-LN(1+C96)/LN(1+MAX($C$2:$C$209)))</f>
        <v>72.9287453464478</v>
      </c>
      <c r="C96" s="1" t="n">
        <v>2.245</v>
      </c>
      <c r="D96" s="1" t="n">
        <v>2020</v>
      </c>
      <c r="G96" s="1" t="s">
        <v>30</v>
      </c>
      <c r="H96" s="1" t="n">
        <v>50.5</v>
      </c>
      <c r="J96" s="1" t="s">
        <v>153</v>
      </c>
      <c r="K96" s="1" t="n">
        <v>49.2</v>
      </c>
    </row>
    <row r="97" customFormat="false" ht="15.75" hidden="false" customHeight="true" outlineLevel="0" collapsed="false">
      <c r="A97" s="1" t="s">
        <v>72</v>
      </c>
      <c r="B97" s="1" t="n">
        <f aca="false">100*(1-LN(1+C97)/LN(1+MAX($C$2:$C$209)))</f>
        <v>72.738182652064</v>
      </c>
      <c r="C97" s="1" t="n">
        <v>2.272</v>
      </c>
      <c r="D97" s="1" t="n">
        <v>2022</v>
      </c>
      <c r="G97" s="1" t="s">
        <v>93</v>
      </c>
      <c r="H97" s="1" t="n">
        <v>50.5</v>
      </c>
      <c r="J97" s="1" t="s">
        <v>151</v>
      </c>
      <c r="K97" s="1" t="n">
        <v>49.1</v>
      </c>
    </row>
    <row r="98" customFormat="false" ht="15.75" hidden="false" customHeight="true" outlineLevel="0" collapsed="false">
      <c r="A98" s="1" t="s">
        <v>107</v>
      </c>
      <c r="B98" s="1" t="n">
        <f aca="false">100*(1-LN(1+C98)/LN(1+MAX($C$2:$C$209)))</f>
        <v>72.2513615194299</v>
      </c>
      <c r="C98" s="1" t="n">
        <v>2.342</v>
      </c>
      <c r="D98" s="1" t="n">
        <v>2018</v>
      </c>
      <c r="G98" s="1" t="s">
        <v>139</v>
      </c>
      <c r="H98" s="1" t="n">
        <v>49.7</v>
      </c>
      <c r="J98" s="1" t="s">
        <v>152</v>
      </c>
      <c r="K98" s="1" t="n">
        <v>48.7</v>
      </c>
    </row>
    <row r="99" customFormat="false" ht="15.75" hidden="false" customHeight="true" outlineLevel="0" collapsed="false">
      <c r="A99" s="1" t="s">
        <v>106</v>
      </c>
      <c r="B99" s="1" t="n">
        <f aca="false">100*(1-LN(1+C99)/LN(1+MAX($C$2:$C$209)))</f>
        <v>72.0253859744391</v>
      </c>
      <c r="C99" s="1" t="n">
        <v>2.375</v>
      </c>
      <c r="D99" s="1" t="n">
        <v>2014</v>
      </c>
      <c r="E99" s="3" t="s">
        <v>175</v>
      </c>
      <c r="G99" s="1" t="s">
        <v>106</v>
      </c>
      <c r="H99" s="1" t="n">
        <v>49.3</v>
      </c>
      <c r="J99" s="1" t="s">
        <v>60</v>
      </c>
      <c r="K99" s="1" t="n">
        <v>48</v>
      </c>
    </row>
    <row r="100" customFormat="false" ht="15.75" hidden="false" customHeight="true" outlineLevel="0" collapsed="false">
      <c r="A100" s="1" t="s">
        <v>78</v>
      </c>
      <c r="B100" s="1" t="n">
        <f aca="false">100*(1-LN(1+C100)/LN(1+MAX($C$2:$C$209)))</f>
        <v>71.957344615705</v>
      </c>
      <c r="C100" s="1" t="n">
        <v>2.385</v>
      </c>
      <c r="D100" s="1" t="n">
        <v>2019</v>
      </c>
      <c r="G100" s="1" t="s">
        <v>153</v>
      </c>
      <c r="H100" s="1" t="n">
        <v>49.2</v>
      </c>
      <c r="J100" s="1" t="s">
        <v>147</v>
      </c>
      <c r="K100" s="1" t="n">
        <v>47.9</v>
      </c>
    </row>
    <row r="101" customFormat="false" ht="15.75" hidden="false" customHeight="true" outlineLevel="0" collapsed="false">
      <c r="A101" s="1" t="s">
        <v>197</v>
      </c>
      <c r="B101" s="1" t="n">
        <f aca="false">100*(1-LN(1+C101)/LN(1+MAX($C$2:$C$209)))</f>
        <v>71.828618020365</v>
      </c>
      <c r="C101" s="1" t="n">
        <v>2.404</v>
      </c>
      <c r="D101" s="1" t="n">
        <v>2024</v>
      </c>
      <c r="G101" s="1" t="s">
        <v>156</v>
      </c>
      <c r="H101" s="1" t="n">
        <v>48.9</v>
      </c>
      <c r="J101" s="1" t="s">
        <v>103</v>
      </c>
      <c r="K101" s="1" t="n">
        <v>47.4</v>
      </c>
    </row>
    <row r="102" customFormat="false" ht="15.75" hidden="false" customHeight="true" outlineLevel="0" collapsed="false">
      <c r="A102" s="1" t="s">
        <v>198</v>
      </c>
      <c r="B102" s="1" t="n">
        <f aca="false">100*(1-LN(1+C102)/LN(1+MAX($C$2:$C$209)))</f>
        <v>71.4002384642387</v>
      </c>
      <c r="C102" s="1" t="n">
        <v>2.468</v>
      </c>
      <c r="D102" s="1" t="n">
        <v>2020</v>
      </c>
      <c r="G102" s="1" t="s">
        <v>147</v>
      </c>
      <c r="H102" s="1" t="n">
        <v>48.8</v>
      </c>
      <c r="J102" s="1" t="s">
        <v>137</v>
      </c>
      <c r="K102" s="1" t="n">
        <v>47.3</v>
      </c>
    </row>
    <row r="103" customFormat="false" ht="15.75" hidden="false" customHeight="true" outlineLevel="0" collapsed="false">
      <c r="A103" s="1" t="s">
        <v>57</v>
      </c>
      <c r="B103" s="1" t="n">
        <f aca="false">100*(1-LN(1+C103)/LN(1+MAX($C$2:$C$209)))</f>
        <v>71.2087252507615</v>
      </c>
      <c r="C103" s="1" t="n">
        <v>2.497</v>
      </c>
      <c r="D103" s="1" t="n">
        <v>2023</v>
      </c>
      <c r="G103" s="1" t="s">
        <v>151</v>
      </c>
      <c r="H103" s="1" t="n">
        <v>48.5</v>
      </c>
      <c r="J103" s="1" t="s">
        <v>156</v>
      </c>
      <c r="K103" s="1" t="n">
        <v>47.3</v>
      </c>
    </row>
    <row r="104" customFormat="false" ht="15.75" hidden="false" customHeight="true" outlineLevel="0" collapsed="false">
      <c r="A104" s="1" t="s">
        <v>74</v>
      </c>
      <c r="B104" s="1" t="n">
        <f aca="false">100*(1-LN(1+C104)/LN(1+MAX($C$2:$C$209)))</f>
        <v>70.9081794184181</v>
      </c>
      <c r="C104" s="1" t="n">
        <v>2.543</v>
      </c>
      <c r="D104" s="1" t="n">
        <v>2023</v>
      </c>
      <c r="G104" s="1" t="s">
        <v>137</v>
      </c>
      <c r="H104" s="1" t="n">
        <v>48.2</v>
      </c>
      <c r="J104" s="1" t="s">
        <v>73</v>
      </c>
      <c r="K104" s="1" t="n">
        <v>46.6</v>
      </c>
    </row>
    <row r="105" customFormat="false" ht="15.75" hidden="false" customHeight="true" outlineLevel="0" collapsed="false">
      <c r="A105" s="1" t="s">
        <v>80</v>
      </c>
      <c r="B105" s="1" t="n">
        <f aca="false">100*(1-LN(1+C105)/LN(1+MAX($C$2:$C$209)))</f>
        <v>70.8563091681203</v>
      </c>
      <c r="C105" s="1" t="n">
        <v>2.551</v>
      </c>
      <c r="D105" s="1" t="n">
        <v>2022</v>
      </c>
      <c r="G105" s="1" t="s">
        <v>129</v>
      </c>
      <c r="H105" s="1" t="n">
        <v>47.6</v>
      </c>
      <c r="J105" s="1" t="s">
        <v>158</v>
      </c>
      <c r="K105" s="1" t="n">
        <v>46.5</v>
      </c>
    </row>
    <row r="106" customFormat="false" ht="15.75" hidden="false" customHeight="true" outlineLevel="0" collapsed="false">
      <c r="A106" s="1" t="s">
        <v>151</v>
      </c>
      <c r="B106" s="1" t="n">
        <f aca="false">100*(1-LN(1+C106)/LN(1+MAX($C$2:$C$209)))</f>
        <v>70.7013966824637</v>
      </c>
      <c r="C106" s="1" t="n">
        <v>2.575</v>
      </c>
      <c r="D106" s="1" t="n">
        <v>2023</v>
      </c>
      <c r="G106" s="1" t="s">
        <v>60</v>
      </c>
      <c r="H106" s="1" t="n">
        <v>47.3</v>
      </c>
      <c r="J106" s="1" t="s">
        <v>187</v>
      </c>
      <c r="K106" s="1" t="n">
        <v>45.9</v>
      </c>
    </row>
    <row r="107" customFormat="false" ht="15.75" hidden="false" customHeight="true" outlineLevel="0" collapsed="false">
      <c r="A107" s="1" t="s">
        <v>173</v>
      </c>
      <c r="B107" s="1" t="n">
        <f aca="false">100*(1-LN(1+C107)/LN(1+MAX($C$2:$C$209)))</f>
        <v>70.6371565220444</v>
      </c>
      <c r="C107" s="1" t="n">
        <v>2.585</v>
      </c>
      <c r="D107" s="1" t="n">
        <v>2020</v>
      </c>
      <c r="G107" s="1" t="s">
        <v>73</v>
      </c>
      <c r="H107" s="1" t="n">
        <v>47.3</v>
      </c>
      <c r="J107" s="1" t="s">
        <v>129</v>
      </c>
      <c r="K107" s="1" t="n">
        <v>45.9</v>
      </c>
    </row>
    <row r="108" customFormat="false" ht="15.75" hidden="false" customHeight="true" outlineLevel="0" collapsed="false">
      <c r="A108" s="1" t="s">
        <v>50</v>
      </c>
      <c r="B108" s="1" t="n">
        <f aca="false">100*(1-LN(1+C108)/LN(1+MAX($C$2:$C$209)))</f>
        <v>70.3629504769241</v>
      </c>
      <c r="C108" s="1" t="n">
        <v>2.628</v>
      </c>
      <c r="D108" s="1" t="n">
        <v>2023</v>
      </c>
      <c r="G108" s="1" t="s">
        <v>103</v>
      </c>
      <c r="H108" s="1" t="n">
        <v>47.2</v>
      </c>
      <c r="J108" s="1" t="s">
        <v>157</v>
      </c>
      <c r="K108" s="1" t="n">
        <v>45.9</v>
      </c>
    </row>
    <row r="109" customFormat="false" ht="15.75" hidden="false" customHeight="true" outlineLevel="0" collapsed="false">
      <c r="A109" s="1" t="s">
        <v>199</v>
      </c>
      <c r="B109" s="1" t="n">
        <f aca="false">100*(1-LN(1+C109)/LN(1+MAX($C$2:$C$209)))</f>
        <v>69.5839177742663</v>
      </c>
      <c r="C109" s="1" t="n">
        <v>2.753</v>
      </c>
      <c r="D109" s="1" t="n">
        <v>2009</v>
      </c>
      <c r="E109" s="3" t="s">
        <v>175</v>
      </c>
      <c r="G109" s="1" t="s">
        <v>158</v>
      </c>
      <c r="H109" s="1" t="n">
        <v>46.5</v>
      </c>
      <c r="J109" s="1" t="s">
        <v>63</v>
      </c>
      <c r="K109" s="1" t="n">
        <v>45.9</v>
      </c>
    </row>
    <row r="110" customFormat="false" ht="15.75" hidden="false" customHeight="true" outlineLevel="0" collapsed="false">
      <c r="A110" s="1" t="s">
        <v>96</v>
      </c>
      <c r="B110" s="1" t="n">
        <f aca="false">100*(1-LN(1+C110)/LN(1+MAX($C$2:$C$209)))</f>
        <v>69.20709283396</v>
      </c>
      <c r="C110" s="1" t="n">
        <v>2.815</v>
      </c>
      <c r="D110" s="1" t="n">
        <v>2022</v>
      </c>
      <c r="G110" s="1" t="s">
        <v>157</v>
      </c>
      <c r="H110" s="1" t="n">
        <v>45.9</v>
      </c>
      <c r="J110" s="1" t="s">
        <v>93</v>
      </c>
      <c r="K110" s="1" t="n">
        <v>45.7</v>
      </c>
    </row>
    <row r="111" customFormat="false" ht="15.75" hidden="false" customHeight="true" outlineLevel="0" collapsed="false">
      <c r="A111" s="1" t="s">
        <v>200</v>
      </c>
      <c r="B111" s="1" t="n">
        <f aca="false">100*(1-LN(1+C111)/LN(1+MAX($C$2:$C$209)))</f>
        <v>68.0606311442875</v>
      </c>
      <c r="C111" s="1" t="n">
        <v>3.01</v>
      </c>
      <c r="D111" s="1" t="n">
        <v>2024</v>
      </c>
      <c r="G111" s="1" t="s">
        <v>63</v>
      </c>
      <c r="H111" s="1" t="n">
        <v>45.8</v>
      </c>
      <c r="J111" s="1" t="s">
        <v>34</v>
      </c>
      <c r="K111" s="1" t="n">
        <v>44.6</v>
      </c>
    </row>
    <row r="112" customFormat="false" ht="15.75" hidden="false" customHeight="true" outlineLevel="0" collapsed="false">
      <c r="A112" s="1" t="s">
        <v>201</v>
      </c>
      <c r="B112" s="1" t="n">
        <f aca="false">100*(1-LN(1+C112)/LN(1+MAX($C$2:$C$209)))</f>
        <v>67.623210742843</v>
      </c>
      <c r="C112" s="1" t="n">
        <v>3.087</v>
      </c>
      <c r="D112" s="1" t="n">
        <v>2012</v>
      </c>
      <c r="E112" s="3" t="s">
        <v>175</v>
      </c>
      <c r="G112" s="1" t="s">
        <v>100</v>
      </c>
      <c r="H112" s="1" t="n">
        <v>44.8</v>
      </c>
      <c r="J112" s="1" t="s">
        <v>100</v>
      </c>
      <c r="K112" s="1" t="n">
        <v>44</v>
      </c>
    </row>
    <row r="113" customFormat="false" ht="15.75" hidden="false" customHeight="true" outlineLevel="0" collapsed="false">
      <c r="A113" s="1" t="s">
        <v>202</v>
      </c>
      <c r="B113" s="1" t="n">
        <f aca="false">100*(1-LN(1+C113)/LN(1+MAX($C$2:$C$209)))</f>
        <v>67.4941502267673</v>
      </c>
      <c r="C113" s="1" t="n">
        <v>3.11</v>
      </c>
      <c r="D113" s="1" t="n">
        <v>2009</v>
      </c>
      <c r="E113" s="3" t="s">
        <v>175</v>
      </c>
      <c r="G113" s="1" t="s">
        <v>138</v>
      </c>
      <c r="H113" s="1" t="n">
        <v>44.5</v>
      </c>
      <c r="J113" s="1" t="s">
        <v>133</v>
      </c>
      <c r="K113" s="1" t="n">
        <v>43.6</v>
      </c>
    </row>
    <row r="114" customFormat="false" ht="15.75" hidden="false" customHeight="true" outlineLevel="0" collapsed="false">
      <c r="A114" s="1" t="s">
        <v>62</v>
      </c>
      <c r="B114" s="1" t="n">
        <f aca="false">100*(1-LN(1+C114)/LN(1+MAX($C$2:$C$209)))</f>
        <v>66.8431689924879</v>
      </c>
      <c r="C114" s="1" t="n">
        <v>3.228</v>
      </c>
      <c r="D114" s="1" t="n">
        <v>2023</v>
      </c>
      <c r="G114" s="1" t="s">
        <v>133</v>
      </c>
      <c r="H114" s="1" t="n">
        <v>44.3</v>
      </c>
      <c r="J114" s="1" t="s">
        <v>163</v>
      </c>
      <c r="K114" s="1" t="n">
        <v>43.6</v>
      </c>
    </row>
    <row r="115" customFormat="false" ht="15.75" hidden="false" customHeight="true" outlineLevel="0" collapsed="false">
      <c r="A115" s="1" t="s">
        <v>203</v>
      </c>
      <c r="B115" s="1" t="n">
        <f aca="false">100*(1-LN(1+C115)/LN(1+MAX($C$2:$C$209)))</f>
        <v>66.8214215086199</v>
      </c>
      <c r="C115" s="1" t="n">
        <v>3.232</v>
      </c>
      <c r="D115" s="1" t="n">
        <v>2011</v>
      </c>
      <c r="E115" s="3" t="s">
        <v>175</v>
      </c>
      <c r="G115" s="1" t="s">
        <v>34</v>
      </c>
      <c r="H115" s="1" t="n">
        <v>44.2</v>
      </c>
      <c r="J115" s="1" t="s">
        <v>141</v>
      </c>
      <c r="K115" s="1" t="n">
        <v>43.4</v>
      </c>
    </row>
    <row r="116" customFormat="false" ht="15.75" hidden="false" customHeight="true" outlineLevel="0" collapsed="false">
      <c r="A116" s="1" t="s">
        <v>109</v>
      </c>
      <c r="B116" s="1" t="n">
        <f aca="false">100*(1-LN(1+C116)/LN(1+MAX($C$2:$C$209)))</f>
        <v>66.3960695652176</v>
      </c>
      <c r="C116" s="1" t="n">
        <v>3.311</v>
      </c>
      <c r="D116" s="1" t="n">
        <v>2019</v>
      </c>
      <c r="G116" s="1" t="s">
        <v>163</v>
      </c>
      <c r="H116" s="1" t="n">
        <v>44.1</v>
      </c>
      <c r="J116" s="1" t="s">
        <v>116</v>
      </c>
      <c r="K116" s="1" t="n">
        <v>43.1</v>
      </c>
    </row>
    <row r="117" customFormat="false" ht="15.75" hidden="false" customHeight="true" outlineLevel="0" collapsed="false">
      <c r="A117" s="1" t="s">
        <v>204</v>
      </c>
      <c r="B117" s="1" t="n">
        <f aca="false">100*(1-LN(1+C117)/LN(1+MAX($C$2:$C$209)))</f>
        <v>65.1248537437687</v>
      </c>
      <c r="C117" s="1" t="n">
        <v>3.556</v>
      </c>
      <c r="D117" s="1" t="n">
        <v>2012</v>
      </c>
      <c r="E117" s="3" t="s">
        <v>175</v>
      </c>
      <c r="G117" s="1" t="s">
        <v>136</v>
      </c>
      <c r="H117" s="1" t="n">
        <v>43.8</v>
      </c>
      <c r="J117" s="1" t="s">
        <v>136</v>
      </c>
      <c r="K117" s="1" t="n">
        <v>42.3</v>
      </c>
    </row>
    <row r="118" customFormat="false" ht="15.75" hidden="false" customHeight="true" outlineLevel="0" collapsed="false">
      <c r="A118" s="1" t="s">
        <v>149</v>
      </c>
      <c r="B118" s="1" t="n">
        <f aca="false">100*(1-LN(1+C118)/LN(1+MAX($C$2:$C$209)))</f>
        <v>64.9538643874982</v>
      </c>
      <c r="C118" s="1" t="n">
        <v>3.59</v>
      </c>
      <c r="D118" s="1" t="n">
        <v>2011</v>
      </c>
      <c r="E118" s="3" t="s">
        <v>175</v>
      </c>
      <c r="G118" s="1" t="s">
        <v>116</v>
      </c>
      <c r="H118" s="1" t="n">
        <v>43.4</v>
      </c>
      <c r="J118" s="1" t="s">
        <v>138</v>
      </c>
      <c r="K118" s="1" t="n">
        <v>41.4</v>
      </c>
    </row>
    <row r="119" customFormat="false" ht="15.75" hidden="false" customHeight="true" outlineLevel="0" collapsed="false">
      <c r="A119" s="1" t="s">
        <v>155</v>
      </c>
      <c r="B119" s="1" t="n">
        <f aca="false">100*(1-LN(1+C119)/LN(1+MAX($C$2:$C$209)))</f>
        <v>64.8438978283856</v>
      </c>
      <c r="C119" s="1" t="n">
        <v>3.612</v>
      </c>
      <c r="D119" s="1" t="n">
        <v>2020</v>
      </c>
      <c r="G119" s="1" t="s">
        <v>141</v>
      </c>
      <c r="H119" s="1" t="n">
        <v>42.9</v>
      </c>
      <c r="J119" s="1" t="s">
        <v>154</v>
      </c>
      <c r="K119" s="1" t="n">
        <v>40.2</v>
      </c>
    </row>
    <row r="120" customFormat="false" ht="15.75" hidden="false" customHeight="true" outlineLevel="0" collapsed="false">
      <c r="A120" s="1" t="s">
        <v>119</v>
      </c>
      <c r="B120" s="1" t="n">
        <f aca="false">100*(1-LN(1+C120)/LN(1+MAX($C$2:$C$209)))</f>
        <v>64.2434461261427</v>
      </c>
      <c r="C120" s="1" t="n">
        <v>3.734</v>
      </c>
      <c r="D120" s="1" t="n">
        <v>2008</v>
      </c>
      <c r="E120" s="3" t="s">
        <v>175</v>
      </c>
      <c r="G120" s="1" t="s">
        <v>154</v>
      </c>
      <c r="H120" s="1" t="n">
        <v>41.7</v>
      </c>
      <c r="J120" s="1" t="s">
        <v>205</v>
      </c>
      <c r="K120" s="1" t="n">
        <v>40.1</v>
      </c>
    </row>
    <row r="121" customFormat="false" ht="15.75" hidden="false" customHeight="true" outlineLevel="0" collapsed="false">
      <c r="A121" s="1" t="s">
        <v>158</v>
      </c>
      <c r="B121" s="1" t="n">
        <f aca="false">100*(1-LN(1+C121)/LN(1+MAX($C$2:$C$209)))</f>
        <v>64.1706907270376</v>
      </c>
      <c r="C121" s="1" t="n">
        <v>3.749</v>
      </c>
      <c r="D121" s="1" t="n">
        <v>2020</v>
      </c>
      <c r="G121" s="1" t="s">
        <v>205</v>
      </c>
      <c r="H121" s="1" t="n">
        <v>40.8</v>
      </c>
      <c r="J121" s="1" t="s">
        <v>149</v>
      </c>
      <c r="K121" s="1" t="n">
        <v>39.9</v>
      </c>
    </row>
    <row r="122" customFormat="false" ht="15.75" hidden="false" customHeight="true" outlineLevel="0" collapsed="false">
      <c r="A122" s="1" t="s">
        <v>90</v>
      </c>
      <c r="B122" s="1" t="n">
        <f aca="false">100*(1-LN(1+C122)/LN(1+MAX($C$2:$C$209)))</f>
        <v>64.0354934136153</v>
      </c>
      <c r="C122" s="1" t="n">
        <v>3.777</v>
      </c>
      <c r="D122" s="1" t="n">
        <v>2021</v>
      </c>
      <c r="G122" s="1" t="s">
        <v>87</v>
      </c>
      <c r="H122" s="1" t="n">
        <v>40.4</v>
      </c>
      <c r="J122" s="1" t="s">
        <v>87</v>
      </c>
      <c r="K122" s="1" t="n">
        <v>39.5</v>
      </c>
    </row>
    <row r="123" customFormat="false" ht="15.75" hidden="false" customHeight="true" outlineLevel="0" collapsed="false">
      <c r="A123" s="1" t="s">
        <v>162</v>
      </c>
      <c r="B123" s="1" t="n">
        <f aca="false">100*(1-LN(1+C123)/LN(1+MAX($C$2:$C$209)))</f>
        <v>62.8394893198029</v>
      </c>
      <c r="C123" s="1" t="n">
        <v>4.032</v>
      </c>
      <c r="D123" s="1" t="n">
        <v>2021</v>
      </c>
      <c r="G123" s="1" t="s">
        <v>81</v>
      </c>
      <c r="H123" s="1" t="n">
        <v>39.4</v>
      </c>
      <c r="J123" s="1" t="s">
        <v>81</v>
      </c>
      <c r="K123" s="1" t="n">
        <v>39.5</v>
      </c>
    </row>
    <row r="124" customFormat="false" ht="15.75" hidden="false" customHeight="true" outlineLevel="0" collapsed="false">
      <c r="A124" s="1" t="s">
        <v>206</v>
      </c>
      <c r="B124" s="1" t="n">
        <f aca="false">100*(1-LN(1+C124)/LN(1+MAX($C$2:$C$209)))</f>
        <v>62.6846203003799</v>
      </c>
      <c r="C124" s="1" t="n">
        <v>4.066</v>
      </c>
      <c r="D124" s="1" t="n">
        <v>2015</v>
      </c>
      <c r="G124" s="1" t="s">
        <v>107</v>
      </c>
      <c r="H124" s="1" t="n">
        <v>39.3</v>
      </c>
      <c r="J124" s="1" t="s">
        <v>99</v>
      </c>
      <c r="K124" s="1" t="n">
        <v>39.3</v>
      </c>
    </row>
    <row r="125" customFormat="false" ht="15.75" hidden="false" customHeight="true" outlineLevel="0" collapsed="false">
      <c r="A125" s="1" t="s">
        <v>145</v>
      </c>
      <c r="B125" s="1" t="n">
        <f aca="false">100*(1-LN(1+C125)/LN(1+MAX($C$2:$C$209)))</f>
        <v>62.539807779552</v>
      </c>
      <c r="C125" s="1" t="n">
        <v>4.098</v>
      </c>
      <c r="D125" s="1" t="n">
        <v>2016</v>
      </c>
      <c r="G125" s="1" t="s">
        <v>134</v>
      </c>
      <c r="H125" s="1" t="n">
        <v>39.2</v>
      </c>
      <c r="J125" s="1" t="s">
        <v>82</v>
      </c>
      <c r="K125" s="1" t="n">
        <v>39.1</v>
      </c>
    </row>
    <row r="126" customFormat="false" ht="15.75" hidden="false" customHeight="true" outlineLevel="0" collapsed="false">
      <c r="A126" s="1" t="s">
        <v>207</v>
      </c>
      <c r="B126" s="1" t="n">
        <f aca="false">100*(1-LN(1+C126)/LN(1+MAX($C$2:$C$209)))</f>
        <v>62.1196195171753</v>
      </c>
      <c r="C126" s="1" t="n">
        <v>4.192</v>
      </c>
      <c r="D126" s="1" t="n">
        <v>1994</v>
      </c>
      <c r="E126" s="3" t="s">
        <v>175</v>
      </c>
      <c r="G126" s="1" t="s">
        <v>149</v>
      </c>
      <c r="H126" s="1" t="n">
        <v>39</v>
      </c>
      <c r="J126" s="1" t="s">
        <v>36</v>
      </c>
      <c r="K126" s="1" t="n">
        <v>38.5</v>
      </c>
    </row>
    <row r="127" customFormat="false" ht="15.75" hidden="false" customHeight="true" outlineLevel="0" collapsed="false">
      <c r="A127" s="1" t="s">
        <v>208</v>
      </c>
      <c r="B127" s="1" t="n">
        <f aca="false">100*(1-LN(1+C127)/LN(1+MAX($C$2:$C$209)))</f>
        <v>61.5335967525745</v>
      </c>
      <c r="C127" s="1" t="n">
        <v>4.326</v>
      </c>
      <c r="D127" s="1" t="n">
        <v>2019</v>
      </c>
      <c r="G127" s="1" t="s">
        <v>99</v>
      </c>
      <c r="H127" s="1" t="n">
        <v>38.8</v>
      </c>
      <c r="J127" s="1" t="s">
        <v>107</v>
      </c>
      <c r="K127" s="1" t="n">
        <v>38.4</v>
      </c>
    </row>
    <row r="128" customFormat="false" ht="15.75" hidden="false" customHeight="true" outlineLevel="0" collapsed="false">
      <c r="A128" s="1" t="s">
        <v>111</v>
      </c>
      <c r="B128" s="1" t="n">
        <f aca="false">100*(1-LN(1+C128)/LN(1+MAX($C$2:$C$209)))</f>
        <v>61.4947670533981</v>
      </c>
      <c r="C128" s="1" t="n">
        <v>4.335</v>
      </c>
      <c r="D128" s="1" t="n">
        <v>2023</v>
      </c>
      <c r="G128" s="1" t="s">
        <v>36</v>
      </c>
      <c r="H128" s="1" t="n">
        <v>38.7</v>
      </c>
      <c r="J128" s="1" t="s">
        <v>88</v>
      </c>
      <c r="K128" s="1" t="n">
        <v>37.5</v>
      </c>
    </row>
    <row r="129" customFormat="false" ht="15.75" hidden="false" customHeight="true" outlineLevel="0" collapsed="false">
      <c r="A129" s="1" t="s">
        <v>102</v>
      </c>
      <c r="B129" s="1" t="n">
        <f aca="false">100*(1-LN(1+C129)/LN(1+MAX($C$2:$C$209)))</f>
        <v>61.438795199093</v>
      </c>
      <c r="C129" s="1" t="n">
        <v>4.348</v>
      </c>
      <c r="D129" s="1" t="n">
        <v>2023</v>
      </c>
      <c r="G129" s="1" t="s">
        <v>82</v>
      </c>
      <c r="H129" s="1" t="n">
        <v>38.7</v>
      </c>
      <c r="J129" s="1" t="s">
        <v>71</v>
      </c>
      <c r="K129" s="1" t="n">
        <v>36.6</v>
      </c>
    </row>
    <row r="130" customFormat="false" ht="15.75" hidden="false" customHeight="true" outlineLevel="0" collapsed="false">
      <c r="A130" s="1" t="s">
        <v>115</v>
      </c>
      <c r="B130" s="1" t="n">
        <f aca="false">100*(1-LN(1+C130)/LN(1+MAX($C$2:$C$209)))</f>
        <v>61.3529497747561</v>
      </c>
      <c r="C130" s="1" t="n">
        <v>4.368</v>
      </c>
      <c r="D130" s="1" t="n">
        <v>2020</v>
      </c>
      <c r="G130" s="1" t="s">
        <v>88</v>
      </c>
      <c r="H130" s="1" t="n">
        <v>38.3</v>
      </c>
      <c r="J130" s="1" t="s">
        <v>146</v>
      </c>
      <c r="K130" s="1" t="n">
        <v>36.5</v>
      </c>
    </row>
    <row r="131" customFormat="false" ht="15.75" hidden="false" customHeight="true" outlineLevel="0" collapsed="false">
      <c r="A131" s="1" t="s">
        <v>209</v>
      </c>
      <c r="B131" s="1" t="n">
        <f aca="false">100*(1-LN(1+C131)/LN(1+MAX($C$2:$C$209)))</f>
        <v>61.1397277534851</v>
      </c>
      <c r="C131" s="1" t="n">
        <v>4.418</v>
      </c>
      <c r="D131" s="1" t="n">
        <v>2012</v>
      </c>
      <c r="E131" s="3" t="s">
        <v>175</v>
      </c>
      <c r="G131" s="1" t="s">
        <v>210</v>
      </c>
      <c r="H131" s="1" t="n">
        <v>37.9</v>
      </c>
      <c r="J131" s="1" t="s">
        <v>134</v>
      </c>
      <c r="K131" s="1" t="n">
        <v>36.3</v>
      </c>
    </row>
    <row r="132" customFormat="false" ht="15.75" hidden="false" customHeight="true" outlineLevel="0" collapsed="false">
      <c r="A132" s="1" t="s">
        <v>104</v>
      </c>
      <c r="B132" s="1" t="n">
        <f aca="false">100*(1-LN(1+C132)/LN(1+MAX($C$2:$C$209)))</f>
        <v>61.1397277534851</v>
      </c>
      <c r="C132" s="1" t="n">
        <v>4.418</v>
      </c>
      <c r="D132" s="1" t="n">
        <v>2023</v>
      </c>
      <c r="G132" s="1" t="s">
        <v>71</v>
      </c>
      <c r="H132" s="1" t="n">
        <v>37</v>
      </c>
      <c r="J132" s="1" t="s">
        <v>210</v>
      </c>
      <c r="K132" s="1" t="n">
        <v>36.1</v>
      </c>
    </row>
    <row r="133" customFormat="false" ht="15.75" hidden="false" customHeight="true" outlineLevel="0" collapsed="false">
      <c r="A133" s="1" t="s">
        <v>113</v>
      </c>
      <c r="B133" s="1" t="n">
        <f aca="false">100*(1-LN(1+C133)/LN(1+MAX($C$2:$C$209)))</f>
        <v>60.9495036542798</v>
      </c>
      <c r="C133" s="1" t="n">
        <v>4.463</v>
      </c>
      <c r="D133" s="1" t="n">
        <v>2019</v>
      </c>
      <c r="G133" s="1" t="s">
        <v>91</v>
      </c>
      <c r="H133" s="1" t="n">
        <v>36.4</v>
      </c>
      <c r="J133" s="1" t="s">
        <v>91</v>
      </c>
      <c r="K133" s="1" t="n">
        <v>35.5</v>
      </c>
    </row>
    <row r="134" customFormat="false" ht="15.75" hidden="false" customHeight="true" outlineLevel="0" collapsed="false">
      <c r="A134" s="1" t="s">
        <v>71</v>
      </c>
      <c r="B134" s="1" t="n">
        <f aca="false">100*(1-LN(1+C134)/LN(1+MAX($C$2:$C$209)))</f>
        <v>60.8235561189264</v>
      </c>
      <c r="C134" s="1" t="n">
        <v>4.493</v>
      </c>
      <c r="D134" s="1" t="n">
        <v>2023</v>
      </c>
      <c r="G134" s="1" t="s">
        <v>146</v>
      </c>
      <c r="H134" s="1" t="n">
        <v>36.4</v>
      </c>
      <c r="J134" s="1" t="s">
        <v>104</v>
      </c>
      <c r="K134" s="1" t="n">
        <v>35</v>
      </c>
    </row>
    <row r="135" customFormat="false" ht="15.75" hidden="false" customHeight="true" outlineLevel="0" collapsed="false">
      <c r="A135" s="1" t="s">
        <v>101</v>
      </c>
      <c r="B135" s="1" t="n">
        <f aca="false">100*(1-LN(1+C135)/LN(1+MAX($C$2:$C$209)))</f>
        <v>60.0010846874637</v>
      </c>
      <c r="C135" s="1" t="n">
        <v>4.693</v>
      </c>
      <c r="D135" s="1" t="n">
        <v>2020</v>
      </c>
      <c r="G135" s="1" t="s">
        <v>104</v>
      </c>
      <c r="H135" s="1" t="n">
        <v>35.8</v>
      </c>
      <c r="J135" s="1" t="s">
        <v>143</v>
      </c>
      <c r="K135" s="1" t="n">
        <v>34.5</v>
      </c>
    </row>
    <row r="136" customFormat="false" ht="15.75" hidden="false" customHeight="true" outlineLevel="0" collapsed="false">
      <c r="A136" s="1" t="s">
        <v>211</v>
      </c>
      <c r="B136" s="1" t="n">
        <f aca="false">100*(1-LN(1+C136)/LN(1+MAX($C$2:$C$209)))</f>
        <v>59.6165078114256</v>
      </c>
      <c r="C136" s="1" t="n">
        <v>4.789</v>
      </c>
      <c r="D136" s="1" t="n">
        <v>2024</v>
      </c>
      <c r="G136" s="1" t="s">
        <v>143</v>
      </c>
      <c r="H136" s="1" t="n">
        <v>35.2</v>
      </c>
      <c r="J136" s="1" t="s">
        <v>127</v>
      </c>
      <c r="K136" s="1" t="n">
        <v>33.7</v>
      </c>
    </row>
    <row r="137" customFormat="false" ht="15.75" hidden="false" customHeight="true" outlineLevel="0" collapsed="false">
      <c r="A137" s="1" t="s">
        <v>86</v>
      </c>
      <c r="B137" s="1" t="n">
        <f aca="false">100*(1-LN(1+C137)/LN(1+MAX($C$2:$C$209)))</f>
        <v>59.6045927973555</v>
      </c>
      <c r="C137" s="1" t="n">
        <v>4.792</v>
      </c>
      <c r="D137" s="1" t="n">
        <v>2011</v>
      </c>
      <c r="E137" s="3" t="s">
        <v>175</v>
      </c>
      <c r="G137" s="1" t="s">
        <v>145</v>
      </c>
      <c r="H137" s="1" t="n">
        <v>34.6</v>
      </c>
      <c r="J137" s="1" t="s">
        <v>145</v>
      </c>
      <c r="K137" s="1" t="n">
        <v>33.7</v>
      </c>
    </row>
    <row r="138" customFormat="false" ht="15.75" hidden="false" customHeight="true" outlineLevel="0" collapsed="false">
      <c r="A138" s="1" t="s">
        <v>100</v>
      </c>
      <c r="B138" s="1" t="n">
        <f aca="false">100*(1-LN(1+C138)/LN(1+MAX($C$2:$C$209)))</f>
        <v>59.2891151140975</v>
      </c>
      <c r="C138" s="1" t="n">
        <v>4.872</v>
      </c>
      <c r="D138" s="1" t="n">
        <v>2022</v>
      </c>
      <c r="G138" s="1" t="s">
        <v>160</v>
      </c>
      <c r="H138" s="1" t="n">
        <v>33.4</v>
      </c>
      <c r="J138" s="1" t="s">
        <v>160</v>
      </c>
      <c r="K138" s="1" t="n">
        <v>33.4</v>
      </c>
    </row>
    <row r="139" customFormat="false" ht="15.75" hidden="false" customHeight="true" outlineLevel="0" collapsed="false">
      <c r="A139" s="1" t="s">
        <v>212</v>
      </c>
      <c r="B139" s="1" t="n">
        <f aca="false">100*(1-LN(1+C139)/LN(1+MAX($C$2:$C$209)))</f>
        <v>58.3302484338253</v>
      </c>
      <c r="C139" s="1" t="n">
        <v>5.122</v>
      </c>
      <c r="D139" s="1" t="n">
        <v>2021</v>
      </c>
      <c r="G139" s="1" t="s">
        <v>85</v>
      </c>
      <c r="H139" s="1" t="n">
        <v>33.1</v>
      </c>
      <c r="J139" s="1" t="s">
        <v>85</v>
      </c>
      <c r="K139" s="1" t="n">
        <v>32.9</v>
      </c>
    </row>
    <row r="140" customFormat="false" ht="15.75" hidden="false" customHeight="true" outlineLevel="0" collapsed="false">
      <c r="A140" s="1" t="s">
        <v>144</v>
      </c>
      <c r="B140" s="1" t="n">
        <f aca="false">100*(1-LN(1+C140)/LN(1+MAX($C$2:$C$209)))</f>
        <v>58.031666343385</v>
      </c>
      <c r="C140" s="1" t="n">
        <v>5.202</v>
      </c>
      <c r="D140" s="1" t="n">
        <v>2015</v>
      </c>
      <c r="G140" s="1" t="s">
        <v>126</v>
      </c>
      <c r="H140" s="1" t="n">
        <v>32.6</v>
      </c>
      <c r="J140" s="1" t="s">
        <v>126</v>
      </c>
      <c r="K140" s="1" t="n">
        <v>32.6</v>
      </c>
    </row>
    <row r="141" customFormat="false" ht="15.75" hidden="false" customHeight="true" outlineLevel="0" collapsed="false">
      <c r="A141" s="1" t="s">
        <v>213</v>
      </c>
      <c r="B141" s="1" t="n">
        <f aca="false">100*(1-LN(1+C141)/LN(1+MAX($C$2:$C$209)))</f>
        <v>57.485684131848</v>
      </c>
      <c r="C141" s="1" t="n">
        <v>5.351</v>
      </c>
      <c r="D141" s="1" t="n">
        <v>2016</v>
      </c>
      <c r="G141" s="1" t="s">
        <v>127</v>
      </c>
      <c r="H141" s="1" t="n">
        <v>32.6</v>
      </c>
      <c r="J141" s="1" t="s">
        <v>159</v>
      </c>
      <c r="K141" s="1" t="n">
        <v>31.9</v>
      </c>
    </row>
    <row r="142" customFormat="false" ht="15.75" hidden="false" customHeight="true" outlineLevel="0" collapsed="false">
      <c r="A142" s="1" t="s">
        <v>147</v>
      </c>
      <c r="B142" s="1" t="n">
        <f aca="false">100*(1-LN(1+C142)/LN(1+MAX($C$2:$C$209)))</f>
        <v>56.4657459090402</v>
      </c>
      <c r="C142" s="1" t="n">
        <v>5.639</v>
      </c>
      <c r="D142" s="1" t="n">
        <v>2024</v>
      </c>
      <c r="G142" s="1" t="s">
        <v>159</v>
      </c>
      <c r="H142" s="1" t="n">
        <v>31.9</v>
      </c>
      <c r="J142" s="1" t="s">
        <v>130</v>
      </c>
      <c r="K142" s="1" t="n">
        <v>29.1</v>
      </c>
    </row>
    <row r="143" customFormat="false" ht="15.75" hidden="false" customHeight="true" outlineLevel="0" collapsed="false">
      <c r="A143" s="1" t="s">
        <v>214</v>
      </c>
      <c r="B143" s="1" t="n">
        <f aca="false">100*(1-LN(1+C143)/LN(1+MAX($C$2:$C$209)))</f>
        <v>56.4276726687632</v>
      </c>
      <c r="C143" s="1" t="n">
        <v>5.65</v>
      </c>
      <c r="D143" s="1" t="n">
        <v>2016</v>
      </c>
      <c r="G143" s="1" t="s">
        <v>130</v>
      </c>
      <c r="H143" s="1" t="n">
        <v>28.9</v>
      </c>
      <c r="J143" s="1" t="s">
        <v>150</v>
      </c>
      <c r="K143" s="1" t="n">
        <v>28</v>
      </c>
    </row>
    <row r="144" customFormat="false" ht="15.75" hidden="false" customHeight="true" outlineLevel="0" collapsed="false">
      <c r="A144" s="1" t="s">
        <v>215</v>
      </c>
      <c r="B144" s="1" t="n">
        <f aca="false">100*(1-LN(1+C144)/LN(1+MAX($C$2:$C$209)))</f>
        <v>56.3103886701315</v>
      </c>
      <c r="C144" s="1" t="n">
        <v>5.684</v>
      </c>
      <c r="D144" s="1" t="n">
        <v>2016</v>
      </c>
      <c r="G144" s="1" t="s">
        <v>150</v>
      </c>
      <c r="H144" s="1" t="n">
        <v>28.1</v>
      </c>
      <c r="J144" s="1" t="s">
        <v>53</v>
      </c>
      <c r="K144" s="1" t="n">
        <v>25.3</v>
      </c>
    </row>
    <row r="145" customFormat="false" ht="15.75" hidden="false" customHeight="true" outlineLevel="0" collapsed="false">
      <c r="A145" s="1" t="s">
        <v>17</v>
      </c>
      <c r="B145" s="1" t="n">
        <f aca="false">100*(1-LN(1+C145)/LN(1+MAX($C$2:$C$209)))</f>
        <v>56.0401633501936</v>
      </c>
      <c r="C145" s="1" t="n">
        <v>5.763</v>
      </c>
      <c r="D145" s="1" t="n">
        <v>2023</v>
      </c>
      <c r="G145" s="1" t="s">
        <v>53</v>
      </c>
      <c r="H145" s="1" t="n">
        <v>25.5</v>
      </c>
      <c r="J145" s="1" t="s">
        <v>162</v>
      </c>
      <c r="K145" s="1" t="n">
        <v>24.9</v>
      </c>
    </row>
    <row r="146" customFormat="false" ht="15.75" hidden="false" customHeight="true" outlineLevel="0" collapsed="false">
      <c r="A146" s="1" t="s">
        <v>134</v>
      </c>
      <c r="B146" s="1" t="n">
        <f aca="false">100*(1-LN(1+C146)/LN(1+MAX($C$2:$C$209)))</f>
        <v>55.8808900050681</v>
      </c>
      <c r="C146" s="1" t="n">
        <v>5.81</v>
      </c>
      <c r="D146" s="1" t="n">
        <v>2013</v>
      </c>
      <c r="E146" s="3" t="s">
        <v>175</v>
      </c>
      <c r="G146" s="1" t="s">
        <v>162</v>
      </c>
      <c r="H146" s="1" t="n">
        <v>25.3</v>
      </c>
      <c r="J146" s="1" t="s">
        <v>216</v>
      </c>
      <c r="K146" s="1" t="n">
        <v>21.1</v>
      </c>
    </row>
    <row r="147" customFormat="false" ht="15.75" hidden="false" customHeight="true" outlineLevel="0" collapsed="false">
      <c r="A147" s="1" t="s">
        <v>217</v>
      </c>
      <c r="B147" s="1" t="n">
        <f aca="false">100*(1-LN(1+C147)/LN(1+MAX($C$2:$C$209)))</f>
        <v>55.4327549924351</v>
      </c>
      <c r="C147" s="1" t="n">
        <v>5.944</v>
      </c>
      <c r="D147" s="1" t="n">
        <v>2009</v>
      </c>
      <c r="E147" s="3" t="s">
        <v>175</v>
      </c>
      <c r="G147" s="1" t="s">
        <v>216</v>
      </c>
      <c r="H147" s="1" t="n">
        <v>20.2</v>
      </c>
      <c r="J147" s="1" t="s">
        <v>128</v>
      </c>
      <c r="K147" s="1" t="n">
        <v>19.7</v>
      </c>
    </row>
    <row r="148" customFormat="false" ht="15.75" hidden="false" customHeight="true" outlineLevel="0" collapsed="false">
      <c r="A148" s="1" t="s">
        <v>114</v>
      </c>
      <c r="B148" s="1" t="n">
        <f aca="false">100*(1-LN(1+C148)/LN(1+MAX($C$2:$C$209)))</f>
        <v>54.6545235885893</v>
      </c>
      <c r="C148" s="1" t="n">
        <v>6.183</v>
      </c>
      <c r="D148" s="1" t="n">
        <v>2023</v>
      </c>
      <c r="G148" s="1" t="s">
        <v>108</v>
      </c>
      <c r="H148" s="1" t="n">
        <v>19.5</v>
      </c>
      <c r="J148" s="1" t="s">
        <v>108</v>
      </c>
      <c r="K148" s="1" t="n">
        <v>19.3</v>
      </c>
    </row>
    <row r="149" customFormat="false" ht="15.75" hidden="false" customHeight="true" outlineLevel="0" collapsed="false">
      <c r="A149" s="1" t="s">
        <v>218</v>
      </c>
      <c r="B149" s="1" t="n">
        <f aca="false">100*(1-LN(1+C149)/LN(1+MAX($C$2:$C$209)))</f>
        <v>54.3998017546579</v>
      </c>
      <c r="C149" s="1" t="n">
        <v>6.263</v>
      </c>
      <c r="D149" s="1" t="n">
        <v>2018</v>
      </c>
      <c r="G149" s="1" t="s">
        <v>128</v>
      </c>
      <c r="H149" s="1" t="n">
        <v>19.2</v>
      </c>
    </row>
    <row r="150" customFormat="false" ht="15.75" hidden="false" customHeight="true" outlineLevel="0" collapsed="false">
      <c r="A150" s="1" t="s">
        <v>81</v>
      </c>
      <c r="B150" s="1" t="n">
        <f aca="false">100*(1-LN(1+C150)/LN(1+MAX($C$2:$C$209)))</f>
        <v>54.1322158448878</v>
      </c>
      <c r="C150" s="1" t="n">
        <v>6.348</v>
      </c>
      <c r="D150" s="1" t="n">
        <v>2023</v>
      </c>
    </row>
    <row r="151" customFormat="false" ht="15.75" hidden="false" customHeight="true" outlineLevel="0" collapsed="false">
      <c r="A151" s="1" t="s">
        <v>140</v>
      </c>
      <c r="B151" s="1" t="n">
        <f aca="false">100*(1-LN(1+C151)/LN(1+MAX($C$2:$C$209)))</f>
        <v>53.6031481080892</v>
      </c>
      <c r="C151" s="1" t="n">
        <v>6.519</v>
      </c>
      <c r="D151" s="1" t="n">
        <v>2023</v>
      </c>
    </row>
    <row r="152" customFormat="false" ht="15.75" hidden="false" customHeight="true" outlineLevel="0" collapsed="false">
      <c r="A152" s="1" t="s">
        <v>99</v>
      </c>
      <c r="B152" s="1" t="n">
        <f aca="false">100*(1-LN(1+C152)/LN(1+MAX($C$2:$C$209)))</f>
        <v>52.8835092367826</v>
      </c>
      <c r="C152" s="1" t="n">
        <v>6.758</v>
      </c>
      <c r="D152" s="1" t="n">
        <v>2022</v>
      </c>
    </row>
    <row r="153" customFormat="false" ht="15.75" hidden="false" customHeight="true" outlineLevel="0" collapsed="false">
      <c r="A153" s="1" t="s">
        <v>143</v>
      </c>
      <c r="B153" s="1" t="n">
        <f aca="false">100*(1-LN(1+C153)/LN(1+MAX($C$2:$C$209)))</f>
        <v>52.8775811629061</v>
      </c>
      <c r="C153" s="1" t="n">
        <v>6.76</v>
      </c>
      <c r="D153" s="1" t="n">
        <v>2022</v>
      </c>
    </row>
    <row r="154" customFormat="false" ht="15.75" hidden="false" customHeight="true" outlineLevel="0" collapsed="false">
      <c r="A154" s="1" t="s">
        <v>154</v>
      </c>
      <c r="B154" s="1" t="n">
        <f aca="false">100*(1-LN(1+C154)/LN(1+MAX($C$2:$C$209)))</f>
        <v>52.8183843156104</v>
      </c>
      <c r="C154" s="1" t="n">
        <v>6.78</v>
      </c>
      <c r="D154" s="1" t="n">
        <v>2023</v>
      </c>
    </row>
    <row r="155" customFormat="false" ht="15.75" hidden="false" customHeight="true" outlineLevel="0" collapsed="false">
      <c r="A155" s="1" t="s">
        <v>142</v>
      </c>
      <c r="B155" s="1" t="n">
        <f aca="false">100*(1-LN(1+C155)/LN(1+MAX($C$2:$C$209)))</f>
        <v>52.1914596723148</v>
      </c>
      <c r="C155" s="1" t="n">
        <v>6.995</v>
      </c>
      <c r="D155" s="1" t="n">
        <v>2020</v>
      </c>
    </row>
    <row r="156" customFormat="false" ht="15.75" hidden="false" customHeight="true" outlineLevel="0" collapsed="false">
      <c r="A156" s="1" t="s">
        <v>219</v>
      </c>
      <c r="B156" s="1" t="n">
        <f aca="false">100*(1-LN(1+C156)/LN(1+MAX($C$2:$C$209)))</f>
        <v>51.8205167519202</v>
      </c>
      <c r="C156" s="1" t="n">
        <v>7.125</v>
      </c>
      <c r="D156" s="1" t="n">
        <v>2012</v>
      </c>
      <c r="E156" s="3" t="s">
        <v>175</v>
      </c>
    </row>
    <row r="157" customFormat="false" ht="15.75" hidden="false" customHeight="true" outlineLevel="0" collapsed="false">
      <c r="A157" s="1" t="s">
        <v>190</v>
      </c>
      <c r="B157" s="1" t="n">
        <f aca="false">100*(1-LN(1+C157)/LN(1+MAX($C$2:$C$209)))</f>
        <v>50.9512033032731</v>
      </c>
      <c r="C157" s="1" t="n">
        <v>7.438</v>
      </c>
      <c r="D157" s="1" t="n">
        <v>2023</v>
      </c>
    </row>
    <row r="158" customFormat="false" ht="15.75" hidden="false" customHeight="true" outlineLevel="0" collapsed="false">
      <c r="A158" s="1" t="s">
        <v>66</v>
      </c>
      <c r="B158" s="1" t="n">
        <f aca="false">100*(1-LN(1+C158)/LN(1+MAX($C$2:$C$209)))</f>
        <v>49.9303253915769</v>
      </c>
      <c r="C158" s="1" t="n">
        <v>7.821</v>
      </c>
      <c r="D158" s="1" t="n">
        <v>2024</v>
      </c>
    </row>
    <row r="159" customFormat="false" ht="15.75" hidden="false" customHeight="true" outlineLevel="0" collapsed="false">
      <c r="A159" s="1" t="s">
        <v>138</v>
      </c>
      <c r="B159" s="1" t="n">
        <f aca="false">100*(1-LN(1+C159)/LN(1+MAX($C$2:$C$209)))</f>
        <v>49.7304434278176</v>
      </c>
      <c r="C159" s="1" t="n">
        <v>7.898</v>
      </c>
      <c r="D159" s="1" t="n">
        <v>2022</v>
      </c>
    </row>
    <row r="160" customFormat="false" ht="15.75" hidden="false" customHeight="true" outlineLevel="0" collapsed="false">
      <c r="A160" s="1" t="s">
        <v>123</v>
      </c>
      <c r="B160" s="1" t="n">
        <f aca="false">100*(1-LN(1+C160)/LN(1+MAX($C$2:$C$209)))</f>
        <v>49.5527924564719</v>
      </c>
      <c r="C160" s="1" t="n">
        <v>7.967</v>
      </c>
      <c r="D160" s="1" t="n">
        <v>2022</v>
      </c>
    </row>
    <row r="161" customFormat="false" ht="15.75" hidden="false" customHeight="true" outlineLevel="0" collapsed="false">
      <c r="A161" s="1" t="s">
        <v>220</v>
      </c>
      <c r="B161" s="1" t="n">
        <f aca="false">100*(1-LN(1+C161)/LN(1+MAX($C$2:$C$209)))</f>
        <v>49.0479914550396</v>
      </c>
      <c r="C161" s="1" t="n">
        <v>8.166</v>
      </c>
      <c r="D161" s="1" t="n">
        <v>2006</v>
      </c>
      <c r="E161" s="3" t="s">
        <v>175</v>
      </c>
    </row>
    <row r="162" customFormat="false" ht="15.75" hidden="false" customHeight="true" outlineLevel="0" collapsed="false">
      <c r="A162" s="1" t="s">
        <v>139</v>
      </c>
      <c r="B162" s="1" t="n">
        <f aca="false">100*(1-LN(1+C162)/LN(1+MAX($C$2:$C$209)))</f>
        <v>48.1982618770231</v>
      </c>
      <c r="C162" s="1" t="n">
        <v>8.511</v>
      </c>
      <c r="D162" s="1" t="n">
        <v>2012</v>
      </c>
      <c r="E162" s="3" t="s">
        <v>175</v>
      </c>
    </row>
    <row r="163" customFormat="false" ht="15.75" hidden="false" customHeight="true" outlineLevel="0" collapsed="false">
      <c r="A163" s="1" t="s">
        <v>85</v>
      </c>
      <c r="B163" s="1" t="n">
        <f aca="false">100*(1-LN(1+C163)/LN(1+MAX($C$2:$C$209)))</f>
        <v>47.9720821430362</v>
      </c>
      <c r="C163" s="1" t="n">
        <v>8.605</v>
      </c>
      <c r="D163" s="1" t="n">
        <v>2021</v>
      </c>
    </row>
    <row r="164" customFormat="false" ht="15.75" hidden="false" customHeight="true" outlineLevel="0" collapsed="false">
      <c r="A164" s="1" t="s">
        <v>157</v>
      </c>
      <c r="B164" s="1" t="n">
        <f aca="false">100*(1-LN(1+C164)/LN(1+MAX($C$2:$C$209)))</f>
        <v>47.1074129095351</v>
      </c>
      <c r="C164" s="1" t="n">
        <v>8.973</v>
      </c>
      <c r="D164" s="1" t="n">
        <v>2023</v>
      </c>
    </row>
    <row r="165" customFormat="false" ht="15.75" hidden="false" customHeight="true" outlineLevel="0" collapsed="false">
      <c r="A165" s="1" t="s">
        <v>128</v>
      </c>
      <c r="B165" s="1" t="n">
        <f aca="false">100*(1-LN(1+C165)/LN(1+MAX($C$2:$C$209)))</f>
        <v>46.2763027062334</v>
      </c>
      <c r="C165" s="1" t="n">
        <v>9.34</v>
      </c>
      <c r="D165" s="1" t="n">
        <v>2010</v>
      </c>
      <c r="E165" s="3" t="s">
        <v>175</v>
      </c>
    </row>
    <row r="166" customFormat="false" ht="15.75" hidden="false" customHeight="true" outlineLevel="0" collapsed="false">
      <c r="A166" s="1" t="s">
        <v>92</v>
      </c>
      <c r="B166" s="1" t="n">
        <f aca="false">100*(1-LN(1+C166)/LN(1+MAX($C$2:$C$209)))</f>
        <v>46.0021457058031</v>
      </c>
      <c r="C166" s="1" t="n">
        <v>9.464</v>
      </c>
      <c r="D166" s="1" t="n">
        <v>2013</v>
      </c>
      <c r="E166" s="3" t="s">
        <v>175</v>
      </c>
    </row>
    <row r="167" customFormat="false" ht="15.75" hidden="false" customHeight="true" outlineLevel="0" collapsed="false">
      <c r="A167" s="1" t="s">
        <v>221</v>
      </c>
      <c r="B167" s="1" t="n">
        <f aca="false">100*(1-LN(1+C167)/LN(1+MAX($C$2:$C$209)))</f>
        <v>43.8309945256746</v>
      </c>
      <c r="C167" s="1" t="n">
        <v>10.5</v>
      </c>
      <c r="D167" s="1" t="n">
        <v>2024</v>
      </c>
    </row>
    <row r="168" customFormat="false" ht="15.75" hidden="false" customHeight="true" outlineLevel="0" collapsed="false">
      <c r="A168" s="1" t="s">
        <v>222</v>
      </c>
      <c r="B168" s="1" t="n">
        <f aca="false">100*(1-LN(1+C168)/LN(1+MAX($C$2:$C$209)))</f>
        <v>43.4030393879969</v>
      </c>
      <c r="C168" s="1" t="n">
        <v>10.716</v>
      </c>
      <c r="D168" s="1" t="n">
        <v>2023</v>
      </c>
    </row>
    <row r="169" customFormat="false" ht="15.75" hidden="false" customHeight="true" outlineLevel="0" collapsed="false">
      <c r="A169" s="1" t="s">
        <v>87</v>
      </c>
      <c r="B169" s="1" t="n">
        <f aca="false">100*(1-LN(1+C169)/LN(1+MAX($C$2:$C$209)))</f>
        <v>43.0118320150422</v>
      </c>
      <c r="C169" s="1" t="n">
        <v>10.917</v>
      </c>
      <c r="D169" s="1" t="n">
        <v>2023</v>
      </c>
    </row>
    <row r="170" customFormat="false" ht="15.75" hidden="false" customHeight="true" outlineLevel="0" collapsed="false">
      <c r="A170" s="1" t="s">
        <v>146</v>
      </c>
      <c r="B170" s="1" t="n">
        <f aca="false">100*(1-LN(1+C170)/LN(1+MAX($C$2:$C$209)))</f>
        <v>42.4569941553891</v>
      </c>
      <c r="C170" s="1" t="n">
        <v>11.208</v>
      </c>
      <c r="D170" s="1" t="n">
        <v>2021</v>
      </c>
    </row>
    <row r="171" customFormat="false" ht="15.75" hidden="false" customHeight="true" outlineLevel="0" collapsed="false">
      <c r="A171" s="1" t="s">
        <v>223</v>
      </c>
      <c r="B171" s="1" t="n">
        <f aca="false">100*(1-LN(1+C171)/LN(1+MAX($C$2:$C$209)))</f>
        <v>42.4212289517777</v>
      </c>
      <c r="C171" s="1" t="n">
        <v>11.227</v>
      </c>
      <c r="D171" s="1" t="n">
        <v>2018</v>
      </c>
    </row>
    <row r="172" customFormat="false" ht="15.75" hidden="false" customHeight="true" outlineLevel="0" collapsed="false">
      <c r="A172" s="1" t="s">
        <v>60</v>
      </c>
      <c r="B172" s="1" t="n">
        <f aca="false">100*(1-LN(1+C172)/LN(1+MAX($C$2:$C$209)))</f>
        <v>42.3873973565479</v>
      </c>
      <c r="C172" s="1" t="n">
        <v>11.245</v>
      </c>
      <c r="D172" s="1" t="n">
        <v>2023</v>
      </c>
    </row>
    <row r="173" customFormat="false" ht="15.75" hidden="false" customHeight="true" outlineLevel="0" collapsed="false">
      <c r="A173" s="1" t="s">
        <v>153</v>
      </c>
      <c r="B173" s="1" t="n">
        <f aca="false">100*(1-LN(1+C173)/LN(1+MAX($C$2:$C$209)))</f>
        <v>42.1966194105028</v>
      </c>
      <c r="C173" s="1" t="n">
        <v>11.347</v>
      </c>
      <c r="D173" s="1" t="n">
        <v>2021</v>
      </c>
    </row>
    <row r="174" customFormat="false" ht="15.75" hidden="false" customHeight="true" outlineLevel="0" collapsed="false">
      <c r="A174" s="1" t="s">
        <v>156</v>
      </c>
      <c r="B174" s="1" t="n">
        <f aca="false">100*(1-LN(1+C174)/LN(1+MAX($C$2:$C$209)))</f>
        <v>42.1575372880479</v>
      </c>
      <c r="C174" s="1" t="n">
        <v>11.368</v>
      </c>
      <c r="D174" s="1" t="n">
        <v>2021</v>
      </c>
    </row>
    <row r="175" customFormat="false" ht="15.75" hidden="false" customHeight="true" outlineLevel="0" collapsed="false">
      <c r="A175" s="1" t="s">
        <v>70</v>
      </c>
      <c r="B175" s="1" t="n">
        <f aca="false">100*(1-LN(1+C175)/LN(1+MAX($C$2:$C$209)))</f>
        <v>41.535660173583</v>
      </c>
      <c r="C175" s="1" t="n">
        <v>11.707</v>
      </c>
      <c r="D175" s="1" t="n">
        <v>2023</v>
      </c>
    </row>
    <row r="176" customFormat="false" ht="15.75" hidden="false" customHeight="true" outlineLevel="0" collapsed="false">
      <c r="A176" s="1" t="s">
        <v>224</v>
      </c>
      <c r="B176" s="1" t="n">
        <f aca="false">100*(1-LN(1+C176)/LN(1+MAX($C$2:$C$209)))</f>
        <v>40.1179011699679</v>
      </c>
      <c r="C176" s="1" t="n">
        <v>12.515</v>
      </c>
      <c r="D176" s="1" t="n">
        <v>2021</v>
      </c>
    </row>
    <row r="177" customFormat="false" ht="15.75" hidden="false" customHeight="true" outlineLevel="0" collapsed="false">
      <c r="A177" s="1" t="s">
        <v>108</v>
      </c>
      <c r="B177" s="1" t="n">
        <f aca="false">100*(1-LN(1+C177)/LN(1+MAX($C$2:$C$209)))</f>
        <v>39.8943716106187</v>
      </c>
      <c r="C177" s="1" t="n">
        <v>12.647</v>
      </c>
      <c r="D177" s="1" t="n">
        <v>2022</v>
      </c>
    </row>
    <row r="178" customFormat="false" ht="15.75" hidden="false" customHeight="true" outlineLevel="0" collapsed="false">
      <c r="A178" s="1" t="s">
        <v>225</v>
      </c>
      <c r="B178" s="1" t="n">
        <f aca="false">100*(1-LN(1+C178)/LN(1+MAX($C$2:$C$209)))</f>
        <v>38.6783587469967</v>
      </c>
      <c r="C178" s="1" t="n">
        <v>13.388</v>
      </c>
      <c r="D178" s="1" t="n">
        <v>2020</v>
      </c>
    </row>
    <row r="179" customFormat="false" ht="15.75" hidden="false" customHeight="true" outlineLevel="0" collapsed="false">
      <c r="A179" s="1" t="s">
        <v>226</v>
      </c>
      <c r="B179" s="1" t="n">
        <f aca="false">100*(1-LN(1+C179)/LN(1+MAX($C$2:$C$209)))</f>
        <v>38.2382383715435</v>
      </c>
      <c r="C179" s="1" t="n">
        <v>13.666</v>
      </c>
      <c r="D179" s="1" t="n">
        <v>2023</v>
      </c>
    </row>
    <row r="180" customFormat="false" ht="15.75" hidden="false" customHeight="true" outlineLevel="0" collapsed="false">
      <c r="A180" s="1" t="s">
        <v>227</v>
      </c>
      <c r="B180" s="1" t="n">
        <f aca="false">100*(1-LN(1+C180)/LN(1+MAX($C$2:$C$209)))</f>
        <v>37.7464422286705</v>
      </c>
      <c r="C180" s="1" t="n">
        <v>13.983</v>
      </c>
      <c r="D180" s="1" t="n">
        <v>2012</v>
      </c>
      <c r="E180" s="3" t="s">
        <v>175</v>
      </c>
    </row>
    <row r="181" customFormat="false" ht="15.75" hidden="false" customHeight="true" outlineLevel="0" collapsed="false">
      <c r="A181" s="1" t="s">
        <v>36</v>
      </c>
      <c r="B181" s="1" t="n">
        <f aca="false">100*(1-LN(1+C181)/LN(1+MAX($C$2:$C$209)))</f>
        <v>36.1185450450645</v>
      </c>
      <c r="C181" s="1" t="n">
        <v>15.082</v>
      </c>
      <c r="D181" s="1" t="n">
        <v>2024</v>
      </c>
    </row>
    <row r="182" customFormat="false" ht="15.75" hidden="false" customHeight="true" outlineLevel="0" collapsed="false">
      <c r="A182" s="1" t="s">
        <v>228</v>
      </c>
      <c r="B182" s="1" t="n">
        <f aca="false">100*(1-LN(1+C182)/LN(1+MAX($C$2:$C$209)))</f>
        <v>35.3783815447346</v>
      </c>
      <c r="C182" s="1" t="n">
        <v>15.608</v>
      </c>
      <c r="D182" s="1" t="n">
        <v>2012</v>
      </c>
      <c r="E182" s="3" t="s">
        <v>175</v>
      </c>
    </row>
    <row r="183" customFormat="false" ht="15.75" hidden="false" customHeight="true" outlineLevel="0" collapsed="false">
      <c r="A183" s="1" t="s">
        <v>160</v>
      </c>
      <c r="B183" s="1" t="n">
        <f aca="false">100*(1-LN(1+C183)/LN(1+MAX($C$2:$C$209)))</f>
        <v>35.1867020190558</v>
      </c>
      <c r="C183" s="1" t="n">
        <v>15.747</v>
      </c>
      <c r="D183" s="1" t="n">
        <v>2023</v>
      </c>
    </row>
    <row r="184" customFormat="false" ht="15.75" hidden="false" customHeight="true" outlineLevel="0" collapsed="false">
      <c r="A184" s="1" t="s">
        <v>229</v>
      </c>
      <c r="B184" s="1" t="n">
        <f aca="false">100*(1-LN(1+C184)/LN(1+MAX($C$2:$C$209)))</f>
        <v>34.0637775574777</v>
      </c>
      <c r="C184" s="1" t="n">
        <v>16.585</v>
      </c>
      <c r="D184" s="1" t="n">
        <v>2009</v>
      </c>
      <c r="E184" s="3" t="s">
        <v>175</v>
      </c>
    </row>
    <row r="185" customFormat="false" ht="15.75" hidden="false" customHeight="true" outlineLevel="0" collapsed="false">
      <c r="A185" s="1" t="s">
        <v>230</v>
      </c>
      <c r="B185" s="1" t="n">
        <f aca="false">100*(1-LN(1+C185)/LN(1+MAX($C$2:$C$209)))</f>
        <v>33.6297797505905</v>
      </c>
      <c r="C185" s="1" t="n">
        <v>16.92</v>
      </c>
      <c r="D185" s="1" t="n">
        <v>2007</v>
      </c>
      <c r="E185" s="3" t="s">
        <v>175</v>
      </c>
    </row>
    <row r="186" customFormat="false" ht="15.75" hidden="false" customHeight="true" outlineLevel="0" collapsed="false">
      <c r="A186" s="1" t="s">
        <v>63</v>
      </c>
      <c r="B186" s="1" t="n">
        <f aca="false">100*(1-LN(1+C186)/LN(1+MAX($C$2:$C$209)))</f>
        <v>32.5946496780442</v>
      </c>
      <c r="C186" s="1" t="n">
        <v>17.745</v>
      </c>
      <c r="D186" s="1" t="n">
        <v>2023</v>
      </c>
    </row>
    <row r="187" customFormat="false" ht="15.75" hidden="false" customHeight="true" outlineLevel="0" collapsed="false">
      <c r="A187" s="1" t="s">
        <v>127</v>
      </c>
      <c r="B187" s="1" t="n">
        <f aca="false">100*(1-LN(1+C187)/LN(1+MAX($C$2:$C$209)))</f>
        <v>30.966686122808</v>
      </c>
      <c r="C187" s="1" t="n">
        <v>19.12</v>
      </c>
      <c r="D187" s="1" t="n">
        <v>2023</v>
      </c>
    </row>
    <row r="188" customFormat="false" ht="15.75" hidden="false" customHeight="true" outlineLevel="0" collapsed="false">
      <c r="A188" s="1" t="s">
        <v>91</v>
      </c>
      <c r="B188" s="1" t="n">
        <f aca="false">100*(1-LN(1+C188)/LN(1+MAX($C$2:$C$209)))</f>
        <v>30.7901938995729</v>
      </c>
      <c r="C188" s="1" t="n">
        <v>19.275</v>
      </c>
      <c r="D188" s="1" t="n">
        <v>2023</v>
      </c>
    </row>
    <row r="189" customFormat="false" ht="15.75" hidden="false" customHeight="true" outlineLevel="0" collapsed="false">
      <c r="A189" s="1" t="s">
        <v>231</v>
      </c>
      <c r="B189" s="1" t="n">
        <f aca="false">100*(1-LN(1+C189)/LN(1+MAX($C$2:$C$209)))</f>
        <v>30.764119752055</v>
      </c>
      <c r="C189" s="1" t="n">
        <v>19.298</v>
      </c>
      <c r="D189" s="1" t="n">
        <v>2024</v>
      </c>
    </row>
    <row r="190" customFormat="false" ht="15.75" hidden="false" customHeight="true" outlineLevel="0" collapsed="false">
      <c r="A190" s="1" t="s">
        <v>136</v>
      </c>
      <c r="B190" s="1" t="n">
        <f aca="false">100*(1-LN(1+C190)/LN(1+MAX($C$2:$C$209)))</f>
        <v>26.5631656842019</v>
      </c>
      <c r="C190" s="1" t="n">
        <v>23.366</v>
      </c>
      <c r="D190" s="1" t="n">
        <v>2023</v>
      </c>
    </row>
    <row r="191" customFormat="false" ht="15.75" hidden="false" customHeight="true" outlineLevel="0" collapsed="false">
      <c r="A191" s="1" t="s">
        <v>73</v>
      </c>
      <c r="B191" s="1" t="n">
        <f aca="false">100*(1-LN(1+C191)/LN(1+MAX($C$2:$C$209)))</f>
        <v>25.1954772029043</v>
      </c>
      <c r="C191" s="1" t="n">
        <v>24.859</v>
      </c>
      <c r="D191" s="1" t="n">
        <v>2023</v>
      </c>
    </row>
    <row r="192" customFormat="false" ht="15.75" hidden="false" customHeight="true" outlineLevel="0" collapsed="false">
      <c r="A192" s="1" t="s">
        <v>82</v>
      </c>
      <c r="B192" s="1" t="n">
        <f aca="false">100*(1-LN(1+C192)/LN(1+MAX($C$2:$C$209)))</f>
        <v>25.1475018330481</v>
      </c>
      <c r="C192" s="1" t="n">
        <v>24.913</v>
      </c>
      <c r="D192" s="1" t="n">
        <v>2023</v>
      </c>
    </row>
    <row r="193" customFormat="false" ht="15.75" hidden="false" customHeight="true" outlineLevel="0" collapsed="false">
      <c r="A193" s="1" t="s">
        <v>232</v>
      </c>
      <c r="B193" s="1" t="n">
        <f aca="false">100*(1-LN(1+C193)/LN(1+MAX($C$2:$C$209)))</f>
        <v>23.4483683116456</v>
      </c>
      <c r="C193" s="1" t="n">
        <v>26.9</v>
      </c>
      <c r="D193" s="1" t="n">
        <v>2016</v>
      </c>
    </row>
    <row r="194" customFormat="false" ht="15.75" hidden="false" customHeight="true" outlineLevel="0" collapsed="false">
      <c r="A194" s="1" t="s">
        <v>233</v>
      </c>
      <c r="B194" s="1" t="n">
        <f aca="false">100*(1-LN(1+C194)/LN(1+MAX($C$2:$C$209)))</f>
        <v>23.3143984213857</v>
      </c>
      <c r="C194" s="1" t="n">
        <v>27.063</v>
      </c>
      <c r="D194" s="1" t="n">
        <v>2023</v>
      </c>
    </row>
    <row r="195" customFormat="false" ht="15.75" hidden="false" customHeight="true" outlineLevel="0" collapsed="false">
      <c r="A195" s="1" t="s">
        <v>137</v>
      </c>
      <c r="B195" s="1" t="n">
        <f aca="false">100*(1-LN(1+C195)/LN(1+MAX($C$2:$C$209)))</f>
        <v>22.5131068639996</v>
      </c>
      <c r="C195" s="1" t="n">
        <v>28.058</v>
      </c>
      <c r="D195" s="1" t="n">
        <v>2022</v>
      </c>
    </row>
    <row r="196" customFormat="false" ht="15.75" hidden="false" customHeight="true" outlineLevel="0" collapsed="false">
      <c r="A196" s="1" t="s">
        <v>234</v>
      </c>
      <c r="B196" s="1" t="n">
        <f aca="false">100*(1-LN(1+C196)/LN(1+MAX($C$2:$C$209)))</f>
        <v>21.6753684160917</v>
      </c>
      <c r="C196" s="1" t="n">
        <v>29.136</v>
      </c>
      <c r="D196" s="1" t="n">
        <v>2014</v>
      </c>
      <c r="E196" s="3" t="s">
        <v>175</v>
      </c>
    </row>
    <row r="197" customFormat="false" ht="15.75" hidden="false" customHeight="true" outlineLevel="0" collapsed="false">
      <c r="A197" s="1" t="s">
        <v>150</v>
      </c>
      <c r="B197" s="1" t="n">
        <f aca="false">100*(1-LN(1+C197)/LN(1+MAX($C$2:$C$209)))</f>
        <v>19.9796502371581</v>
      </c>
      <c r="C197" s="1" t="n">
        <v>31.442</v>
      </c>
      <c r="D197" s="1" t="n">
        <v>2023</v>
      </c>
    </row>
    <row r="198" customFormat="false" ht="15.75" hidden="false" customHeight="true" outlineLevel="0" collapsed="false">
      <c r="A198" s="1" t="s">
        <v>116</v>
      </c>
      <c r="B198" s="1" t="n">
        <f aca="false">100*(1-LN(1+C198)/LN(1+MAX($C$2:$C$209)))</f>
        <v>19.4498748421739</v>
      </c>
      <c r="C198" s="1" t="n">
        <v>32.198</v>
      </c>
      <c r="D198" s="1" t="n">
        <v>2022</v>
      </c>
    </row>
    <row r="199" customFormat="false" ht="15.75" hidden="false" customHeight="true" outlineLevel="0" collapsed="false">
      <c r="A199" s="1" t="s">
        <v>235</v>
      </c>
      <c r="B199" s="1" t="n">
        <f aca="false">100*(1-LN(1+C199)/LN(1+MAX($C$2:$C$209)))</f>
        <v>15.6044544946253</v>
      </c>
      <c r="C199" s="1" t="n">
        <v>38.24</v>
      </c>
      <c r="D199" s="1" t="n">
        <v>2008</v>
      </c>
      <c r="E199" s="3" t="s">
        <v>175</v>
      </c>
    </row>
    <row r="200" customFormat="false" ht="15.75" hidden="false" customHeight="true" outlineLevel="0" collapsed="false">
      <c r="A200" s="1" t="s">
        <v>236</v>
      </c>
      <c r="B200" s="1" t="n">
        <f aca="false">100*(1-LN(1+C200)/LN(1+MAX($C$2:$C$209)))</f>
        <v>15.1380048783304</v>
      </c>
      <c r="C200" s="1" t="n">
        <v>39.044</v>
      </c>
      <c r="D200" s="1" t="n">
        <v>2023</v>
      </c>
    </row>
    <row r="201" customFormat="false" ht="15.75" hidden="false" customHeight="true" outlineLevel="0" collapsed="false">
      <c r="A201" s="1" t="s">
        <v>130</v>
      </c>
      <c r="B201" s="1" t="n">
        <f aca="false">100*(1-LN(1+C201)/LN(1+MAX($C$2:$C$209)))</f>
        <v>14.3482516364576</v>
      </c>
      <c r="C201" s="1" t="n">
        <v>40.443</v>
      </c>
      <c r="D201" s="1" t="n">
        <v>2022</v>
      </c>
    </row>
    <row r="202" customFormat="false" ht="15.75" hidden="false" customHeight="true" outlineLevel="0" collapsed="false">
      <c r="A202" s="1" t="s">
        <v>216</v>
      </c>
      <c r="B202" s="1" t="n">
        <f aca="false">100*(1-LN(1+C202)/LN(1+MAX($C$2:$C$209)))</f>
        <v>13.9581338929251</v>
      </c>
      <c r="C202" s="1" t="n">
        <v>41.152</v>
      </c>
      <c r="D202" s="1" t="n">
        <v>2023</v>
      </c>
    </row>
    <row r="203" customFormat="false" ht="15.75" hidden="false" customHeight="true" outlineLevel="0" collapsed="false">
      <c r="A203" s="1" t="s">
        <v>53</v>
      </c>
      <c r="B203" s="1" t="n">
        <f aca="false">100*(1-LN(1+C203)/LN(1+MAX($C$2:$C$209)))</f>
        <v>12.5980643827835</v>
      </c>
      <c r="C203" s="1" t="n">
        <v>43.72</v>
      </c>
      <c r="D203" s="1" t="n">
        <v>2022</v>
      </c>
    </row>
    <row r="204" customFormat="false" ht="15.75" hidden="false" customHeight="true" outlineLevel="0" collapsed="false">
      <c r="A204" s="1" t="s">
        <v>88</v>
      </c>
      <c r="B204" s="1" t="n">
        <f aca="false">100*(1-LN(1+C204)/LN(1+MAX($C$2:$C$209)))</f>
        <v>11.5903920997084</v>
      </c>
      <c r="C204" s="1" t="n">
        <v>45.723</v>
      </c>
      <c r="D204" s="1" t="n">
        <v>2023</v>
      </c>
    </row>
    <row r="205" customFormat="false" ht="15.75" hidden="false" customHeight="true" outlineLevel="0" collapsed="false">
      <c r="A205" s="1" t="s">
        <v>126</v>
      </c>
      <c r="B205" s="1" t="n">
        <f aca="false">100*(1-LN(1+C205)/LN(1+MAX($C$2:$C$209)))</f>
        <v>9.82994493485204</v>
      </c>
      <c r="C205" s="1" t="n">
        <v>49.44</v>
      </c>
      <c r="D205" s="1" t="n">
        <v>2023</v>
      </c>
    </row>
    <row r="206" customFormat="false" ht="15.75" hidden="false" customHeight="true" outlineLevel="0" collapsed="false">
      <c r="A206" s="1" t="s">
        <v>205</v>
      </c>
      <c r="B206" s="1" t="n">
        <f aca="false">100*(1-LN(1+C206)/LN(1+MAX($C$2:$C$209)))</f>
        <v>9.64059669104754</v>
      </c>
      <c r="C206" s="1" t="n">
        <v>49.857</v>
      </c>
      <c r="D206" s="1" t="n">
        <v>2012</v>
      </c>
      <c r="E206" s="3" t="s">
        <v>175</v>
      </c>
    </row>
    <row r="207" customFormat="false" ht="15.75" hidden="false" customHeight="true" outlineLevel="0" collapsed="false">
      <c r="A207" s="1" t="s">
        <v>237</v>
      </c>
      <c r="B207" s="1" t="n">
        <f aca="false">100*(1-LN(1+C207)/LN(1+MAX($C$2:$C$209)))</f>
        <v>8.98791342787827</v>
      </c>
      <c r="C207" s="1" t="n">
        <v>51.321</v>
      </c>
      <c r="D207" s="1" t="n">
        <v>2023</v>
      </c>
    </row>
    <row r="208" customFormat="false" ht="15.75" hidden="false" customHeight="true" outlineLevel="0" collapsed="false">
      <c r="A208" s="1" t="s">
        <v>238</v>
      </c>
      <c r="B208" s="1" t="n">
        <f aca="false">100*(1-LN(1+C208)/LN(1+MAX($C$2:$C$209)))</f>
        <v>3.94105739502573</v>
      </c>
      <c r="C208" s="1" t="n">
        <v>64.16</v>
      </c>
      <c r="D208" s="1" t="n">
        <v>2023</v>
      </c>
    </row>
    <row r="209" customFormat="false" ht="15.75" hidden="false" customHeight="true" outlineLevel="0" collapsed="false">
      <c r="A209" s="1" t="s">
        <v>239</v>
      </c>
      <c r="B209" s="1" t="n">
        <f aca="false">100*(1-LN(1+C209)/LN(1+MAX($C$2:$C$209)))</f>
        <v>0</v>
      </c>
      <c r="C209" s="1" t="n">
        <v>76.34</v>
      </c>
      <c r="D209" s="1" t="n">
        <v>2022</v>
      </c>
    </row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240</v>
      </c>
      <c r="D1" s="2" t="s">
        <v>0</v>
      </c>
      <c r="E1" s="2" t="s">
        <v>241</v>
      </c>
      <c r="F1" s="3" t="s">
        <v>170</v>
      </c>
    </row>
    <row r="2" customFormat="false" ht="15.75" hidden="false" customHeight="true" outlineLevel="0" collapsed="false">
      <c r="A2" s="1" t="s">
        <v>48</v>
      </c>
      <c r="B2" s="1" t="n">
        <v>87.1</v>
      </c>
      <c r="D2" s="1" t="s">
        <v>48</v>
      </c>
      <c r="E2" s="1" t="n">
        <v>86.5</v>
      </c>
    </row>
    <row r="3" customFormat="false" ht="15.75" hidden="false" customHeight="true" outlineLevel="0" collapsed="false">
      <c r="A3" s="1" t="s">
        <v>38</v>
      </c>
      <c r="B3" s="1" t="n">
        <v>83</v>
      </c>
      <c r="D3" s="1" t="s">
        <v>38</v>
      </c>
      <c r="E3" s="1" t="n">
        <v>82.8</v>
      </c>
    </row>
    <row r="4" customFormat="false" ht="15.75" hidden="false" customHeight="true" outlineLevel="0" collapsed="false">
      <c r="A4" s="1" t="s">
        <v>40</v>
      </c>
      <c r="B4" s="1" t="n">
        <v>79.9</v>
      </c>
      <c r="D4" s="1" t="s">
        <v>40</v>
      </c>
      <c r="E4" s="1" t="n">
        <v>80</v>
      </c>
    </row>
    <row r="5" customFormat="false" ht="15.75" hidden="false" customHeight="true" outlineLevel="0" collapsed="false">
      <c r="A5" s="1" t="s">
        <v>88</v>
      </c>
      <c r="B5" s="1" t="n">
        <v>78.2</v>
      </c>
      <c r="D5" s="1" t="s">
        <v>21</v>
      </c>
      <c r="E5" s="1" t="n">
        <v>79.3</v>
      </c>
    </row>
    <row r="6" customFormat="false" ht="15.75" hidden="false" customHeight="true" outlineLevel="0" collapsed="false">
      <c r="A6" s="1" t="s">
        <v>21</v>
      </c>
      <c r="B6" s="1" t="n">
        <v>77.6</v>
      </c>
      <c r="D6" s="1" t="s">
        <v>18</v>
      </c>
      <c r="E6" s="1" t="n">
        <v>78.4</v>
      </c>
    </row>
    <row r="7" customFormat="false" ht="15.75" hidden="false" customHeight="true" outlineLevel="0" collapsed="false">
      <c r="A7" s="1" t="s">
        <v>86</v>
      </c>
      <c r="B7" s="1" t="n">
        <v>77.6</v>
      </c>
      <c r="D7" s="1" t="s">
        <v>28</v>
      </c>
      <c r="E7" s="1" t="n">
        <v>77.9</v>
      </c>
    </row>
    <row r="8" customFormat="false" ht="15.75" hidden="false" customHeight="true" outlineLevel="0" collapsed="false">
      <c r="A8" s="1" t="s">
        <v>28</v>
      </c>
      <c r="B8" s="1" t="n">
        <v>77.5</v>
      </c>
      <c r="D8" s="1" t="s">
        <v>34</v>
      </c>
      <c r="E8" s="1" t="n">
        <v>77.7</v>
      </c>
    </row>
    <row r="9" customFormat="false" ht="15.75" hidden="false" customHeight="true" outlineLevel="0" collapsed="false">
      <c r="A9" s="1" t="s">
        <v>32</v>
      </c>
      <c r="B9" s="1" t="n">
        <v>77.5</v>
      </c>
      <c r="D9" s="1" t="s">
        <v>32</v>
      </c>
      <c r="E9" s="1" t="n">
        <v>77.5</v>
      </c>
    </row>
    <row r="10" customFormat="false" ht="15.75" hidden="false" customHeight="true" outlineLevel="0" collapsed="false">
      <c r="A10" s="1" t="s">
        <v>34</v>
      </c>
      <c r="B10" s="1" t="n">
        <v>76.9</v>
      </c>
      <c r="D10" s="1" t="s">
        <v>86</v>
      </c>
      <c r="E10" s="1" t="n">
        <v>77.5</v>
      </c>
    </row>
    <row r="11" customFormat="false" ht="15.75" hidden="false" customHeight="true" outlineLevel="0" collapsed="false">
      <c r="A11" s="1" t="s">
        <v>41</v>
      </c>
      <c r="B11" s="1" t="n">
        <v>76.7</v>
      </c>
      <c r="D11" s="1" t="s">
        <v>41</v>
      </c>
      <c r="E11" s="1" t="n">
        <v>77.3</v>
      </c>
    </row>
    <row r="12" customFormat="false" ht="15.75" hidden="false" customHeight="true" outlineLevel="0" collapsed="false">
      <c r="A12" s="1" t="s">
        <v>30</v>
      </c>
      <c r="B12" s="1" t="n">
        <v>75.7</v>
      </c>
      <c r="D12" s="1" t="s">
        <v>88</v>
      </c>
      <c r="E12" s="1" t="n">
        <v>77.1</v>
      </c>
    </row>
    <row r="13" customFormat="false" ht="15.75" hidden="false" customHeight="true" outlineLevel="0" collapsed="false">
      <c r="A13" s="1" t="s">
        <v>47</v>
      </c>
      <c r="B13" s="1" t="n">
        <v>75.6</v>
      </c>
      <c r="D13" s="1" t="s">
        <v>30</v>
      </c>
      <c r="E13" s="1" t="n">
        <v>75.9</v>
      </c>
    </row>
    <row r="14" customFormat="false" ht="15.75" hidden="false" customHeight="true" outlineLevel="0" collapsed="false">
      <c r="A14" s="1" t="s">
        <v>42</v>
      </c>
      <c r="B14" s="1" t="n">
        <v>75.4</v>
      </c>
      <c r="D14" s="1" t="s">
        <v>16</v>
      </c>
      <c r="E14" s="1" t="n">
        <v>75.6</v>
      </c>
    </row>
    <row r="15" customFormat="false" ht="15.75" hidden="false" customHeight="true" outlineLevel="0" collapsed="false">
      <c r="A15" s="1" t="s">
        <v>50</v>
      </c>
      <c r="B15" s="1" t="n">
        <v>75.3</v>
      </c>
      <c r="D15" s="1" t="s">
        <v>47</v>
      </c>
      <c r="E15" s="1" t="n">
        <v>75.5</v>
      </c>
    </row>
    <row r="16" customFormat="false" ht="15.75" hidden="false" customHeight="true" outlineLevel="0" collapsed="false">
      <c r="A16" s="1" t="s">
        <v>16</v>
      </c>
      <c r="B16" s="1" t="n">
        <v>75.1</v>
      </c>
      <c r="D16" s="1" t="s">
        <v>42</v>
      </c>
      <c r="E16" s="1" t="n">
        <v>75.5</v>
      </c>
    </row>
    <row r="17" customFormat="false" ht="15.75" hidden="false" customHeight="true" outlineLevel="0" collapsed="false">
      <c r="A17" s="1" t="s">
        <v>18</v>
      </c>
      <c r="B17" s="1" t="n">
        <v>74.4</v>
      </c>
      <c r="D17" s="1" t="s">
        <v>13</v>
      </c>
      <c r="E17" s="1" t="n">
        <v>75.2</v>
      </c>
    </row>
    <row r="18" customFormat="false" ht="15.75" hidden="false" customHeight="true" outlineLevel="0" collapsed="false">
      <c r="A18" s="1" t="s">
        <v>19</v>
      </c>
      <c r="B18" s="1" t="n">
        <v>73.8</v>
      </c>
      <c r="D18" s="1" t="s">
        <v>50</v>
      </c>
      <c r="E18" s="1" t="n">
        <v>75</v>
      </c>
    </row>
    <row r="19" customFormat="false" ht="15.75" hidden="false" customHeight="true" outlineLevel="0" collapsed="false">
      <c r="A19" s="1" t="s">
        <v>22</v>
      </c>
      <c r="B19" s="1" t="n">
        <v>73.5</v>
      </c>
      <c r="D19" s="1" t="s">
        <v>19</v>
      </c>
      <c r="E19" s="1" t="n">
        <v>73.4</v>
      </c>
    </row>
    <row r="20" customFormat="false" ht="15.75" hidden="false" customHeight="true" outlineLevel="0" collapsed="false">
      <c r="A20" s="1" t="s">
        <v>23</v>
      </c>
      <c r="B20" s="1" t="n">
        <v>72.4</v>
      </c>
      <c r="D20" s="1" t="s">
        <v>20</v>
      </c>
      <c r="E20" s="1" t="n">
        <v>73.4</v>
      </c>
    </row>
    <row r="21" customFormat="false" ht="15.75" hidden="false" customHeight="true" outlineLevel="0" collapsed="false">
      <c r="A21" s="1" t="s">
        <v>73</v>
      </c>
      <c r="B21" s="1" t="n">
        <v>72.3</v>
      </c>
      <c r="D21" s="1" t="s">
        <v>22</v>
      </c>
      <c r="E21" s="1" t="n">
        <v>73.2</v>
      </c>
    </row>
    <row r="22" customFormat="false" ht="15.75" hidden="false" customHeight="true" outlineLevel="0" collapsed="false">
      <c r="A22" s="1" t="s">
        <v>54</v>
      </c>
      <c r="B22" s="1" t="n">
        <v>72</v>
      </c>
      <c r="D22" s="1" t="s">
        <v>23</v>
      </c>
      <c r="E22" s="1" t="n">
        <v>72.7</v>
      </c>
    </row>
    <row r="23" customFormat="false" ht="15.75" hidden="false" customHeight="true" outlineLevel="0" collapsed="false">
      <c r="A23" s="1" t="s">
        <v>15</v>
      </c>
      <c r="B23" s="1" t="n">
        <v>71.9</v>
      </c>
      <c r="D23" s="1" t="s">
        <v>73</v>
      </c>
      <c r="E23" s="1" t="n">
        <v>72.5</v>
      </c>
    </row>
    <row r="24" customFormat="false" ht="15.75" hidden="false" customHeight="true" outlineLevel="0" collapsed="false">
      <c r="A24" s="1" t="s">
        <v>20</v>
      </c>
      <c r="B24" s="1" t="n">
        <v>71.8</v>
      </c>
      <c r="D24" s="1" t="s">
        <v>54</v>
      </c>
      <c r="E24" s="1" t="n">
        <v>72.2</v>
      </c>
    </row>
    <row r="25" customFormat="false" ht="15.75" hidden="false" customHeight="true" outlineLevel="0" collapsed="false">
      <c r="A25" s="1" t="s">
        <v>62</v>
      </c>
      <c r="B25" s="1" t="n">
        <v>71.3</v>
      </c>
      <c r="D25" s="1" t="s">
        <v>25</v>
      </c>
      <c r="E25" s="1" t="n">
        <v>71.9</v>
      </c>
    </row>
    <row r="26" customFormat="false" ht="15.75" hidden="false" customHeight="true" outlineLevel="0" collapsed="false">
      <c r="A26" s="1" t="s">
        <v>25</v>
      </c>
      <c r="B26" s="1" t="n">
        <v>71.3</v>
      </c>
      <c r="D26" s="1" t="s">
        <v>15</v>
      </c>
      <c r="E26" s="1" t="n">
        <v>71.8</v>
      </c>
    </row>
    <row r="27" customFormat="false" ht="15.75" hidden="false" customHeight="true" outlineLevel="0" collapsed="false">
      <c r="A27" s="1" t="s">
        <v>33</v>
      </c>
      <c r="B27" s="1" t="n">
        <v>70.8</v>
      </c>
      <c r="D27" s="1" t="s">
        <v>12</v>
      </c>
      <c r="E27" s="1" t="n">
        <v>71.5</v>
      </c>
    </row>
    <row r="28" customFormat="false" ht="15.75" hidden="false" customHeight="true" outlineLevel="0" collapsed="false">
      <c r="A28" s="1" t="s">
        <v>109</v>
      </c>
      <c r="B28" s="1" t="n">
        <v>70.8</v>
      </c>
      <c r="D28" s="1" t="s">
        <v>109</v>
      </c>
      <c r="E28" s="1" t="n">
        <v>71.4</v>
      </c>
    </row>
    <row r="29" customFormat="false" ht="15.75" hidden="false" customHeight="true" outlineLevel="0" collapsed="false">
      <c r="A29" s="1" t="s">
        <v>68</v>
      </c>
      <c r="B29" s="1" t="n">
        <v>70.7</v>
      </c>
      <c r="D29" s="1" t="s">
        <v>62</v>
      </c>
      <c r="E29" s="1" t="n">
        <v>71.2</v>
      </c>
    </row>
    <row r="30" customFormat="false" ht="15.75" hidden="false" customHeight="true" outlineLevel="0" collapsed="false">
      <c r="A30" s="1" t="s">
        <v>13</v>
      </c>
      <c r="B30" s="1" t="n">
        <v>70.7</v>
      </c>
      <c r="D30" s="1" t="s">
        <v>33</v>
      </c>
      <c r="E30" s="1" t="n">
        <v>70.6</v>
      </c>
    </row>
    <row r="31" customFormat="false" ht="15.75" hidden="false" customHeight="true" outlineLevel="0" collapsed="false">
      <c r="A31" s="1" t="s">
        <v>61</v>
      </c>
      <c r="B31" s="1" t="n">
        <v>69.6</v>
      </c>
      <c r="D31" s="1" t="s">
        <v>68</v>
      </c>
      <c r="E31" s="1" t="n">
        <v>70.3</v>
      </c>
    </row>
    <row r="32" customFormat="false" ht="15.75" hidden="false" customHeight="true" outlineLevel="0" collapsed="false">
      <c r="A32" s="1" t="s">
        <v>60</v>
      </c>
      <c r="B32" s="1" t="n">
        <v>69</v>
      </c>
      <c r="D32" s="1" t="s">
        <v>31</v>
      </c>
      <c r="E32" s="1" t="n">
        <v>68.7</v>
      </c>
    </row>
    <row r="33" customFormat="false" ht="15.75" hidden="false" customHeight="true" outlineLevel="0" collapsed="false">
      <c r="A33" s="1" t="s">
        <v>82</v>
      </c>
      <c r="B33" s="1" t="n">
        <v>68.9</v>
      </c>
      <c r="D33" s="1" t="s">
        <v>61</v>
      </c>
      <c r="E33" s="1" t="n">
        <v>68.7</v>
      </c>
    </row>
    <row r="34" customFormat="false" ht="15.75" hidden="false" customHeight="true" outlineLevel="0" collapsed="false">
      <c r="A34" s="1" t="s">
        <v>12</v>
      </c>
      <c r="B34" s="1" t="n">
        <v>68.8</v>
      </c>
      <c r="D34" s="1" t="s">
        <v>60</v>
      </c>
      <c r="E34" s="1" t="n">
        <v>68.6</v>
      </c>
    </row>
    <row r="35" customFormat="false" ht="15.75" hidden="false" customHeight="true" outlineLevel="0" collapsed="false">
      <c r="A35" s="1" t="s">
        <v>14</v>
      </c>
      <c r="B35" s="1" t="n">
        <v>68.7</v>
      </c>
      <c r="D35" s="1" t="s">
        <v>82</v>
      </c>
      <c r="E35" s="1" t="n">
        <v>68.6</v>
      </c>
    </row>
    <row r="36" customFormat="false" ht="15.75" hidden="false" customHeight="true" outlineLevel="0" collapsed="false">
      <c r="A36" s="1" t="s">
        <v>31</v>
      </c>
      <c r="B36" s="1" t="n">
        <v>68.6</v>
      </c>
      <c r="D36" s="1" t="s">
        <v>35</v>
      </c>
      <c r="E36" s="1" t="n">
        <v>68.4</v>
      </c>
    </row>
    <row r="37" customFormat="false" ht="15.75" hidden="false" customHeight="true" outlineLevel="0" collapsed="false">
      <c r="A37" s="1" t="s">
        <v>35</v>
      </c>
      <c r="B37" s="1" t="n">
        <v>68.1</v>
      </c>
      <c r="D37" s="1" t="s">
        <v>29</v>
      </c>
      <c r="E37" s="1" t="n">
        <v>68.3</v>
      </c>
    </row>
    <row r="38" customFormat="false" ht="15.75" hidden="false" customHeight="true" outlineLevel="0" collapsed="false">
      <c r="A38" s="1" t="s">
        <v>29</v>
      </c>
      <c r="B38" s="1" t="n">
        <v>68.1</v>
      </c>
      <c r="D38" s="1" t="s">
        <v>71</v>
      </c>
      <c r="E38" s="1" t="n">
        <v>68</v>
      </c>
    </row>
    <row r="39" customFormat="false" ht="15.75" hidden="false" customHeight="true" outlineLevel="0" collapsed="false">
      <c r="A39" s="1" t="s">
        <v>71</v>
      </c>
      <c r="B39" s="1" t="n">
        <v>67.8</v>
      </c>
      <c r="D39" s="1" t="s">
        <v>17</v>
      </c>
      <c r="E39" s="1" t="n">
        <v>67.8</v>
      </c>
    </row>
    <row r="40" customFormat="false" ht="15.75" hidden="false" customHeight="true" outlineLevel="0" collapsed="false">
      <c r="A40" s="1" t="s">
        <v>136</v>
      </c>
      <c r="B40" s="1" t="n">
        <v>67.2</v>
      </c>
      <c r="D40" s="1" t="s">
        <v>14</v>
      </c>
      <c r="E40" s="1" t="n">
        <v>67.6</v>
      </c>
    </row>
    <row r="41" customFormat="false" ht="15.75" hidden="false" customHeight="true" outlineLevel="0" collapsed="false">
      <c r="A41" s="1" t="s">
        <v>102</v>
      </c>
      <c r="B41" s="1" t="n">
        <v>67</v>
      </c>
      <c r="D41" s="1" t="s">
        <v>136</v>
      </c>
      <c r="E41" s="1" t="n">
        <v>67.3</v>
      </c>
    </row>
    <row r="42" customFormat="false" ht="15.75" hidden="false" customHeight="true" outlineLevel="0" collapsed="false">
      <c r="A42" s="1" t="s">
        <v>17</v>
      </c>
      <c r="B42" s="1" t="n">
        <v>66.9</v>
      </c>
      <c r="D42" s="1" t="s">
        <v>102</v>
      </c>
      <c r="E42" s="1" t="n">
        <v>67.3</v>
      </c>
    </row>
    <row r="43" customFormat="false" ht="15.75" hidden="false" customHeight="true" outlineLevel="0" collapsed="false">
      <c r="A43" s="1" t="s">
        <v>26</v>
      </c>
      <c r="B43" s="1" t="n">
        <v>66.5</v>
      </c>
      <c r="D43" s="1" t="s">
        <v>26</v>
      </c>
      <c r="E43" s="1" t="n">
        <v>66.1</v>
      </c>
    </row>
    <row r="44" customFormat="false" ht="15.75" hidden="false" customHeight="true" outlineLevel="0" collapsed="false">
      <c r="A44" s="1" t="s">
        <v>49</v>
      </c>
      <c r="B44" s="1" t="n">
        <v>66.2</v>
      </c>
      <c r="D44" s="1" t="s">
        <v>49</v>
      </c>
      <c r="E44" s="1" t="n">
        <v>66.1</v>
      </c>
    </row>
    <row r="45" customFormat="false" ht="15.75" hidden="false" customHeight="true" outlineLevel="0" collapsed="false">
      <c r="A45" s="1" t="s">
        <v>75</v>
      </c>
      <c r="B45" s="1" t="n">
        <v>65.6</v>
      </c>
      <c r="D45" s="1" t="s">
        <v>96</v>
      </c>
      <c r="E45" s="1" t="n">
        <v>65.5</v>
      </c>
    </row>
    <row r="46" customFormat="false" ht="15.75" hidden="false" customHeight="true" outlineLevel="0" collapsed="false">
      <c r="A46" s="1" t="s">
        <v>96</v>
      </c>
      <c r="B46" s="1" t="n">
        <v>65.6</v>
      </c>
      <c r="D46" s="1" t="s">
        <v>75</v>
      </c>
      <c r="E46" s="1" t="n">
        <v>65.2</v>
      </c>
    </row>
    <row r="47" customFormat="false" ht="15.75" hidden="false" customHeight="true" outlineLevel="0" collapsed="false">
      <c r="A47" s="1" t="s">
        <v>52</v>
      </c>
      <c r="B47" s="1" t="n">
        <v>65</v>
      </c>
      <c r="D47" s="1" t="s">
        <v>37</v>
      </c>
      <c r="E47" s="1" t="n">
        <v>65.1</v>
      </c>
    </row>
    <row r="48" customFormat="false" ht="15.75" hidden="false" customHeight="true" outlineLevel="0" collapsed="false">
      <c r="A48" s="1" t="s">
        <v>43</v>
      </c>
      <c r="B48" s="1" t="n">
        <v>64.8</v>
      </c>
      <c r="D48" s="1" t="s">
        <v>43</v>
      </c>
      <c r="E48" s="1" t="n">
        <v>65.1</v>
      </c>
    </row>
    <row r="49" customFormat="false" ht="15.75" hidden="false" customHeight="true" outlineLevel="0" collapsed="false">
      <c r="A49" s="1" t="s">
        <v>63</v>
      </c>
      <c r="B49" s="1" t="n">
        <v>64.8</v>
      </c>
      <c r="D49" s="1" t="s">
        <v>52</v>
      </c>
      <c r="E49" s="1" t="n">
        <v>64.7</v>
      </c>
    </row>
    <row r="50" customFormat="false" ht="15.75" hidden="false" customHeight="true" outlineLevel="0" collapsed="false">
      <c r="A50" s="1" t="s">
        <v>89</v>
      </c>
      <c r="B50" s="1" t="n">
        <v>64.4</v>
      </c>
      <c r="D50" s="1" t="s">
        <v>63</v>
      </c>
      <c r="E50" s="1" t="n">
        <v>64.3</v>
      </c>
    </row>
    <row r="51" customFormat="false" ht="15.75" hidden="false" customHeight="true" outlineLevel="0" collapsed="false">
      <c r="A51" s="1" t="s">
        <v>53</v>
      </c>
      <c r="B51" s="1" t="n">
        <v>63.9</v>
      </c>
      <c r="D51" s="1" t="s">
        <v>53</v>
      </c>
      <c r="E51" s="1" t="n">
        <v>63.8</v>
      </c>
    </row>
    <row r="52" customFormat="false" ht="15.75" hidden="false" customHeight="true" outlineLevel="0" collapsed="false">
      <c r="A52" s="1" t="s">
        <v>81</v>
      </c>
      <c r="B52" s="1" t="n">
        <v>63.7</v>
      </c>
      <c r="D52" s="1" t="s">
        <v>132</v>
      </c>
      <c r="E52" s="1" t="n">
        <v>63.7</v>
      </c>
    </row>
    <row r="53" customFormat="false" ht="15.75" hidden="false" customHeight="true" outlineLevel="0" collapsed="false">
      <c r="A53" s="1" t="s">
        <v>132</v>
      </c>
      <c r="B53" s="1" t="n">
        <v>63.7</v>
      </c>
      <c r="D53" s="1" t="s">
        <v>81</v>
      </c>
      <c r="E53" s="1" t="n">
        <v>63.5</v>
      </c>
    </row>
    <row r="54" customFormat="false" ht="15.75" hidden="false" customHeight="true" outlineLevel="0" collapsed="false">
      <c r="A54" s="1" t="s">
        <v>57</v>
      </c>
      <c r="B54" s="1" t="n">
        <v>63.7</v>
      </c>
      <c r="D54" s="1" t="s">
        <v>57</v>
      </c>
      <c r="E54" s="1" t="n">
        <v>62.4</v>
      </c>
    </row>
    <row r="55" customFormat="false" ht="15.75" hidden="false" customHeight="true" outlineLevel="0" collapsed="false">
      <c r="A55" s="1" t="s">
        <v>97</v>
      </c>
      <c r="B55" s="1" t="n">
        <v>62.8</v>
      </c>
      <c r="D55" s="1" t="s">
        <v>100</v>
      </c>
      <c r="E55" s="1" t="n">
        <v>62</v>
      </c>
    </row>
    <row r="56" customFormat="false" ht="15.75" hidden="false" customHeight="true" outlineLevel="0" collapsed="false">
      <c r="A56" s="1" t="s">
        <v>37</v>
      </c>
      <c r="B56" s="1" t="n">
        <v>62.7</v>
      </c>
      <c r="D56" s="1" t="s">
        <v>44</v>
      </c>
      <c r="E56" s="1" t="n">
        <v>61.8</v>
      </c>
    </row>
    <row r="57" customFormat="false" ht="15.75" hidden="false" customHeight="true" outlineLevel="0" collapsed="false">
      <c r="A57" s="1" t="s">
        <v>44</v>
      </c>
      <c r="B57" s="1" t="n">
        <v>62.2</v>
      </c>
      <c r="D57" s="1" t="s">
        <v>66</v>
      </c>
      <c r="E57" s="1" t="n">
        <v>61.5</v>
      </c>
    </row>
    <row r="58" customFormat="false" ht="15.75" hidden="false" customHeight="true" outlineLevel="0" collapsed="false">
      <c r="A58" s="1" t="s">
        <v>100</v>
      </c>
      <c r="B58" s="1" t="n">
        <v>62.2</v>
      </c>
      <c r="D58" s="1" t="s">
        <v>97</v>
      </c>
      <c r="E58" s="1" t="n">
        <v>61.3</v>
      </c>
    </row>
    <row r="59" customFormat="false" ht="15.75" hidden="false" customHeight="true" outlineLevel="0" collapsed="false">
      <c r="A59" s="1" t="s">
        <v>70</v>
      </c>
      <c r="B59" s="1" t="n">
        <v>61.8</v>
      </c>
      <c r="D59" s="1" t="s">
        <v>105</v>
      </c>
      <c r="E59" s="1" t="n">
        <v>60.9</v>
      </c>
    </row>
    <row r="60" customFormat="false" ht="15.75" hidden="false" customHeight="true" outlineLevel="0" collapsed="false">
      <c r="A60" s="1" t="s">
        <v>105</v>
      </c>
      <c r="B60" s="1" t="n">
        <v>61.8</v>
      </c>
      <c r="D60" s="1" t="s">
        <v>70</v>
      </c>
      <c r="E60" s="1" t="n">
        <v>60.7</v>
      </c>
    </row>
    <row r="61" customFormat="false" ht="15.75" hidden="false" customHeight="true" outlineLevel="0" collapsed="false">
      <c r="A61" s="1" t="s">
        <v>66</v>
      </c>
      <c r="B61" s="1" t="n">
        <v>61.7</v>
      </c>
      <c r="D61" s="1" t="s">
        <v>80</v>
      </c>
      <c r="E61" s="1" t="n">
        <v>60.7</v>
      </c>
    </row>
    <row r="62" customFormat="false" ht="15.75" hidden="false" customHeight="true" outlineLevel="0" collapsed="false">
      <c r="A62" s="1" t="s">
        <v>80</v>
      </c>
      <c r="B62" s="1" t="n">
        <v>60.7</v>
      </c>
      <c r="D62" s="1" t="s">
        <v>111</v>
      </c>
      <c r="E62" s="1" t="n">
        <v>59.3</v>
      </c>
    </row>
    <row r="63" customFormat="false" ht="15.75" hidden="false" customHeight="true" outlineLevel="0" collapsed="false">
      <c r="A63" s="1" t="s">
        <v>77</v>
      </c>
      <c r="B63" s="1" t="n">
        <v>60</v>
      </c>
      <c r="D63" s="1" t="s">
        <v>91</v>
      </c>
      <c r="E63" s="1" t="n">
        <v>59.1</v>
      </c>
    </row>
    <row r="64" customFormat="false" ht="15.75" hidden="false" customHeight="true" outlineLevel="0" collapsed="false">
      <c r="A64" s="1" t="s">
        <v>111</v>
      </c>
      <c r="B64" s="1" t="n">
        <v>59.4</v>
      </c>
      <c r="D64" s="1" t="s">
        <v>77</v>
      </c>
      <c r="E64" s="1" t="n">
        <v>59</v>
      </c>
    </row>
    <row r="65" customFormat="false" ht="15.75" hidden="false" customHeight="true" outlineLevel="0" collapsed="false">
      <c r="A65" s="1" t="s">
        <v>91</v>
      </c>
      <c r="B65" s="1" t="n">
        <v>59.2</v>
      </c>
      <c r="D65" s="1" t="s">
        <v>36</v>
      </c>
      <c r="E65" s="1" t="n">
        <v>58.5</v>
      </c>
    </row>
    <row r="66" customFormat="false" ht="15.75" hidden="false" customHeight="true" outlineLevel="0" collapsed="false">
      <c r="A66" s="1" t="s">
        <v>36</v>
      </c>
      <c r="B66" s="1" t="n">
        <v>58.7</v>
      </c>
      <c r="D66" s="1" t="s">
        <v>59</v>
      </c>
      <c r="E66" s="1" t="n">
        <v>58.5</v>
      </c>
    </row>
    <row r="67" customFormat="false" ht="15.75" hidden="false" customHeight="true" outlineLevel="0" collapsed="false">
      <c r="A67" s="1" t="s">
        <v>27</v>
      </c>
      <c r="B67" s="1" t="n">
        <v>58.6</v>
      </c>
      <c r="D67" s="1" t="s">
        <v>56</v>
      </c>
      <c r="E67" s="1" t="n">
        <v>58.4</v>
      </c>
    </row>
    <row r="68" customFormat="false" ht="15.75" hidden="false" customHeight="true" outlineLevel="0" collapsed="false">
      <c r="A68" s="1" t="s">
        <v>59</v>
      </c>
      <c r="B68" s="1" t="n">
        <v>58.6</v>
      </c>
      <c r="D68" s="1" t="s">
        <v>27</v>
      </c>
      <c r="E68" s="1" t="n">
        <v>58.4</v>
      </c>
    </row>
    <row r="69" customFormat="false" ht="15.75" hidden="false" customHeight="true" outlineLevel="0" collapsed="false">
      <c r="A69" s="1" t="s">
        <v>87</v>
      </c>
      <c r="B69" s="1" t="n">
        <v>58.3</v>
      </c>
      <c r="D69" s="1" t="s">
        <v>87</v>
      </c>
      <c r="E69" s="1" t="n">
        <v>58.3</v>
      </c>
    </row>
    <row r="70" customFormat="false" ht="15.75" hidden="false" customHeight="true" outlineLevel="0" collapsed="false">
      <c r="A70" s="1" t="s">
        <v>56</v>
      </c>
      <c r="B70" s="1" t="n">
        <v>58.2</v>
      </c>
      <c r="D70" s="1" t="s">
        <v>58</v>
      </c>
      <c r="E70" s="1" t="n">
        <v>58.1</v>
      </c>
    </row>
    <row r="71" customFormat="false" ht="15.75" hidden="false" customHeight="true" outlineLevel="0" collapsed="false">
      <c r="A71" s="1" t="s">
        <v>58</v>
      </c>
      <c r="B71" s="1" t="n">
        <v>58.2</v>
      </c>
      <c r="D71" s="1" t="s">
        <v>51</v>
      </c>
      <c r="E71" s="1" t="n">
        <v>58</v>
      </c>
    </row>
    <row r="72" customFormat="false" ht="15.75" hidden="false" customHeight="true" outlineLevel="0" collapsed="false">
      <c r="A72" s="1" t="s">
        <v>110</v>
      </c>
      <c r="B72" s="1" t="n">
        <v>58.1</v>
      </c>
      <c r="D72" s="1" t="s">
        <v>110</v>
      </c>
      <c r="E72" s="1" t="n">
        <v>57.7</v>
      </c>
    </row>
    <row r="73" customFormat="false" ht="15.75" hidden="false" customHeight="true" outlineLevel="0" collapsed="false">
      <c r="A73" s="1" t="s">
        <v>51</v>
      </c>
      <c r="B73" s="1" t="n">
        <v>58</v>
      </c>
      <c r="D73" s="1" t="s">
        <v>148</v>
      </c>
      <c r="E73" s="1" t="n">
        <v>57.4</v>
      </c>
    </row>
    <row r="74" customFormat="false" ht="15.75" hidden="false" customHeight="true" outlineLevel="0" collapsed="false">
      <c r="A74" s="1" t="s">
        <v>148</v>
      </c>
      <c r="B74" s="1" t="n">
        <v>57.9</v>
      </c>
      <c r="D74" s="1" t="s">
        <v>101</v>
      </c>
      <c r="E74" s="1" t="n">
        <v>57.2</v>
      </c>
    </row>
    <row r="75" customFormat="false" ht="15.75" hidden="false" customHeight="true" outlineLevel="0" collapsed="false">
      <c r="A75" s="1" t="s">
        <v>85</v>
      </c>
      <c r="B75" s="1" t="n">
        <v>57.1</v>
      </c>
      <c r="D75" s="1" t="s">
        <v>45</v>
      </c>
      <c r="E75" s="1" t="n">
        <v>57.1</v>
      </c>
    </row>
    <row r="76" customFormat="false" ht="15.75" hidden="false" customHeight="true" outlineLevel="0" collapsed="false">
      <c r="A76" s="1" t="s">
        <v>101</v>
      </c>
      <c r="B76" s="1" t="n">
        <v>56.6</v>
      </c>
      <c r="D76" s="1" t="s">
        <v>65</v>
      </c>
      <c r="E76" s="1" t="n">
        <v>56.5</v>
      </c>
    </row>
    <row r="77" customFormat="false" ht="15.75" hidden="false" customHeight="true" outlineLevel="0" collapsed="false">
      <c r="A77" s="1" t="s">
        <v>45</v>
      </c>
      <c r="B77" s="1" t="n">
        <v>56.6</v>
      </c>
      <c r="D77" s="1" t="s">
        <v>85</v>
      </c>
      <c r="E77" s="1" t="n">
        <v>56.3</v>
      </c>
    </row>
    <row r="78" customFormat="false" ht="15.75" hidden="false" customHeight="true" outlineLevel="0" collapsed="false">
      <c r="A78" s="1" t="s">
        <v>84</v>
      </c>
      <c r="B78" s="1" t="n">
        <v>56.5</v>
      </c>
      <c r="D78" s="1" t="s">
        <v>90</v>
      </c>
      <c r="E78" s="1" t="n">
        <v>55.9</v>
      </c>
    </row>
    <row r="79" customFormat="false" ht="15.75" hidden="false" customHeight="true" outlineLevel="0" collapsed="false">
      <c r="A79" s="1" t="s">
        <v>65</v>
      </c>
      <c r="B79" s="1" t="n">
        <v>56.4</v>
      </c>
      <c r="D79" s="1" t="s">
        <v>84</v>
      </c>
      <c r="E79" s="1" t="n">
        <v>55.6</v>
      </c>
    </row>
    <row r="80" customFormat="false" ht="15.75" hidden="false" customHeight="true" outlineLevel="0" collapsed="false">
      <c r="A80" s="1" t="s">
        <v>90</v>
      </c>
      <c r="B80" s="1" t="n">
        <v>56</v>
      </c>
      <c r="D80" s="1" t="s">
        <v>69</v>
      </c>
      <c r="E80" s="1" t="n">
        <v>55.6</v>
      </c>
    </row>
    <row r="81" customFormat="false" ht="15.75" hidden="false" customHeight="true" outlineLevel="0" collapsed="false">
      <c r="A81" s="1" t="s">
        <v>79</v>
      </c>
      <c r="B81" s="1" t="n">
        <v>55.7</v>
      </c>
      <c r="D81" s="1" t="s">
        <v>79</v>
      </c>
      <c r="E81" s="1" t="n">
        <v>55.1</v>
      </c>
    </row>
    <row r="82" customFormat="false" ht="15.75" hidden="false" customHeight="true" outlineLevel="0" collapsed="false">
      <c r="A82" s="1" t="s">
        <v>69</v>
      </c>
      <c r="B82" s="1" t="n">
        <v>54.9</v>
      </c>
      <c r="D82" s="1" t="s">
        <v>103</v>
      </c>
      <c r="E82" s="1" t="n">
        <v>54.5</v>
      </c>
    </row>
    <row r="83" customFormat="false" ht="15.75" hidden="false" customHeight="true" outlineLevel="0" collapsed="false">
      <c r="A83" s="1" t="s">
        <v>103</v>
      </c>
      <c r="B83" s="1" t="n">
        <v>54.7</v>
      </c>
      <c r="D83" s="1" t="s">
        <v>130</v>
      </c>
      <c r="E83" s="1" t="n">
        <v>54.3</v>
      </c>
    </row>
    <row r="84" customFormat="false" ht="15.75" hidden="false" customHeight="true" outlineLevel="0" collapsed="false">
      <c r="A84" s="1" t="s">
        <v>55</v>
      </c>
      <c r="B84" s="1" t="n">
        <v>54.2</v>
      </c>
      <c r="D84" s="1" t="s">
        <v>55</v>
      </c>
      <c r="E84" s="1" t="n">
        <v>54.3</v>
      </c>
    </row>
    <row r="85" customFormat="false" ht="15.75" hidden="false" customHeight="true" outlineLevel="0" collapsed="false">
      <c r="A85" s="1" t="s">
        <v>130</v>
      </c>
      <c r="B85" s="1" t="n">
        <v>53.6</v>
      </c>
      <c r="D85" s="1" t="s">
        <v>106</v>
      </c>
      <c r="E85" s="1" t="n">
        <v>52.8</v>
      </c>
    </row>
    <row r="86" customFormat="false" ht="15.75" hidden="false" customHeight="true" outlineLevel="0" collapsed="false">
      <c r="A86" s="1" t="s">
        <v>46</v>
      </c>
      <c r="B86" s="1" t="n">
        <v>53.3</v>
      </c>
      <c r="D86" s="1" t="s">
        <v>46</v>
      </c>
      <c r="E86" s="1" t="n">
        <v>52.5</v>
      </c>
    </row>
    <row r="87" customFormat="false" ht="15.75" hidden="false" customHeight="true" outlineLevel="0" collapsed="false">
      <c r="A87" s="1" t="s">
        <v>106</v>
      </c>
      <c r="B87" s="1" t="n">
        <v>52.8</v>
      </c>
      <c r="D87" s="1" t="s">
        <v>67</v>
      </c>
      <c r="E87" s="1" t="n">
        <v>52.1</v>
      </c>
    </row>
    <row r="88" customFormat="false" ht="15.75" hidden="false" customHeight="true" outlineLevel="0" collapsed="false">
      <c r="A88" s="1" t="s">
        <v>74</v>
      </c>
      <c r="B88" s="1" t="n">
        <v>52.1</v>
      </c>
      <c r="D88" s="1" t="s">
        <v>24</v>
      </c>
      <c r="E88" s="1" t="n">
        <v>51.5</v>
      </c>
    </row>
    <row r="89" customFormat="false" ht="15.75" hidden="false" customHeight="true" outlineLevel="0" collapsed="false">
      <c r="A89" s="1" t="s">
        <v>67</v>
      </c>
      <c r="B89" s="1" t="n">
        <v>52.1</v>
      </c>
      <c r="D89" s="1" t="s">
        <v>152</v>
      </c>
      <c r="E89" s="1" t="n">
        <v>50.7</v>
      </c>
    </row>
    <row r="90" customFormat="false" ht="15.75" hidden="false" customHeight="true" outlineLevel="0" collapsed="false">
      <c r="A90" s="1" t="s">
        <v>152</v>
      </c>
      <c r="B90" s="1" t="n">
        <v>51.6</v>
      </c>
      <c r="D90" s="1" t="s">
        <v>160</v>
      </c>
      <c r="E90" s="1" t="n">
        <v>49.1</v>
      </c>
    </row>
    <row r="91" customFormat="false" ht="15.75" hidden="false" customHeight="true" outlineLevel="0" collapsed="false">
      <c r="A91" s="1" t="s">
        <v>24</v>
      </c>
      <c r="B91" s="1" t="n">
        <v>51.3</v>
      </c>
      <c r="D91" s="1" t="s">
        <v>78</v>
      </c>
      <c r="E91" s="1" t="n">
        <v>48.5</v>
      </c>
    </row>
    <row r="92" customFormat="false" ht="15.75" hidden="false" customHeight="true" outlineLevel="0" collapsed="false">
      <c r="A92" s="1" t="s">
        <v>78</v>
      </c>
      <c r="B92" s="1" t="n">
        <v>49.8</v>
      </c>
      <c r="D92" s="1" t="s">
        <v>95</v>
      </c>
      <c r="E92" s="1" t="n">
        <v>48.3</v>
      </c>
    </row>
    <row r="93" customFormat="false" ht="15.75" hidden="false" customHeight="true" outlineLevel="0" collapsed="false">
      <c r="A93" s="1" t="s">
        <v>95</v>
      </c>
      <c r="B93" s="1" t="n">
        <v>49</v>
      </c>
      <c r="D93" s="1" t="s">
        <v>76</v>
      </c>
      <c r="E93" s="1" t="n">
        <v>48.2</v>
      </c>
    </row>
    <row r="94" customFormat="false" ht="15.75" hidden="false" customHeight="true" outlineLevel="0" collapsed="false">
      <c r="A94" s="1" t="s">
        <v>64</v>
      </c>
      <c r="B94" s="1" t="n">
        <v>48.7</v>
      </c>
      <c r="D94" s="1" t="s">
        <v>112</v>
      </c>
      <c r="E94" s="1" t="n">
        <v>47.3</v>
      </c>
    </row>
    <row r="95" customFormat="false" ht="15.75" hidden="false" customHeight="true" outlineLevel="0" collapsed="false">
      <c r="A95" s="1" t="s">
        <v>160</v>
      </c>
      <c r="B95" s="1" t="n">
        <v>48</v>
      </c>
      <c r="D95" s="1" t="s">
        <v>94</v>
      </c>
      <c r="E95" s="1" t="n">
        <v>46.8</v>
      </c>
    </row>
    <row r="96" customFormat="false" ht="15.75" hidden="false" customHeight="true" outlineLevel="0" collapsed="false">
      <c r="A96" s="1" t="s">
        <v>112</v>
      </c>
      <c r="B96" s="1" t="n">
        <v>47.9</v>
      </c>
      <c r="D96" s="1" t="s">
        <v>92</v>
      </c>
      <c r="E96" s="1" t="n">
        <v>45.9</v>
      </c>
    </row>
    <row r="97" customFormat="false" ht="15.75" hidden="false" customHeight="true" outlineLevel="0" collapsed="false">
      <c r="A97" s="1" t="s">
        <v>76</v>
      </c>
      <c r="B97" s="1" t="n">
        <v>47.9</v>
      </c>
      <c r="D97" s="1" t="s">
        <v>107</v>
      </c>
      <c r="E97" s="1" t="n">
        <v>42.2</v>
      </c>
    </row>
    <row r="98" customFormat="false" ht="15.75" hidden="false" customHeight="true" outlineLevel="0" collapsed="false">
      <c r="A98" s="1" t="s">
        <v>92</v>
      </c>
      <c r="B98" s="1" t="n">
        <v>47.2</v>
      </c>
      <c r="D98" s="1" t="s">
        <v>108</v>
      </c>
      <c r="E98" s="1" t="n">
        <v>38.7</v>
      </c>
    </row>
    <row r="99" customFormat="false" ht="15.75" hidden="false" customHeight="true" outlineLevel="0" collapsed="false">
      <c r="A99" s="1" t="s">
        <v>94</v>
      </c>
      <c r="B99" s="1" t="n">
        <v>46.8</v>
      </c>
    </row>
    <row r="100" customFormat="false" ht="15.75" hidden="false" customHeight="true" outlineLevel="0" collapsed="false">
      <c r="A100" s="1" t="s">
        <v>107</v>
      </c>
      <c r="B100" s="1" t="n">
        <v>42.1</v>
      </c>
    </row>
    <row r="101" customFormat="false" ht="15.75" hidden="false" customHeight="true" outlineLevel="0" collapsed="false">
      <c r="A101" s="1" t="s">
        <v>108</v>
      </c>
      <c r="B101" s="1" t="n">
        <v>39.4</v>
      </c>
    </row>
    <row r="102" customFormat="false" ht="15.75" hidden="false" customHeight="true" outlineLevel="0" collapsed="false">
      <c r="A102" s="1" t="s">
        <v>159</v>
      </c>
      <c r="B102" s="1" t="n">
        <v>35.7</v>
      </c>
    </row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3" t="s">
        <v>249</v>
      </c>
      <c r="K1" s="2" t="s">
        <v>0</v>
      </c>
      <c r="L1" s="2" t="s">
        <v>242</v>
      </c>
      <c r="M1" s="2" t="s">
        <v>243</v>
      </c>
      <c r="N1" s="2" t="s">
        <v>244</v>
      </c>
      <c r="O1" s="2" t="s">
        <v>245</v>
      </c>
      <c r="P1" s="2" t="s">
        <v>246</v>
      </c>
      <c r="Q1" s="2" t="s">
        <v>247</v>
      </c>
      <c r="R1" s="2" t="s">
        <v>248</v>
      </c>
      <c r="S1" s="3" t="s">
        <v>250</v>
      </c>
    </row>
    <row r="2" customFormat="false" ht="15.75" hidden="false" customHeight="true" outlineLevel="0" collapsed="false">
      <c r="A2" s="1" t="s">
        <v>162</v>
      </c>
      <c r="B2" s="1" t="n">
        <v>21.7</v>
      </c>
      <c r="C2" s="1" t="n">
        <v>12.03</v>
      </c>
      <c r="D2" s="1" t="n">
        <v>29.81</v>
      </c>
      <c r="E2" s="1" t="n">
        <v>28.13</v>
      </c>
      <c r="F2" s="1" t="n">
        <v>30.76</v>
      </c>
      <c r="G2" s="1" t="n">
        <v>17.66</v>
      </c>
      <c r="H2" s="1" t="n">
        <f aca="false">AVERAGE(B2:G2)</f>
        <v>23.3483333333333</v>
      </c>
      <c r="K2" s="1" t="s">
        <v>162</v>
      </c>
      <c r="L2" s="1" t="n">
        <v>13.6792449951172</v>
      </c>
      <c r="M2" s="1" t="n">
        <v>1.41509437561035</v>
      </c>
      <c r="N2" s="1" t="n">
        <v>1.42180097103119</v>
      </c>
      <c r="O2" s="1" t="n">
        <v>5.18867921829224</v>
      </c>
      <c r="P2" s="1" t="n">
        <v>9.43396186828613</v>
      </c>
      <c r="Q2" s="1" t="n">
        <v>1.96078431606293</v>
      </c>
      <c r="R2" s="1" t="n">
        <v>5.51659429073334</v>
      </c>
    </row>
    <row r="3" customFormat="false" ht="15.75" hidden="false" customHeight="true" outlineLevel="0" collapsed="false">
      <c r="A3" s="1" t="s">
        <v>76</v>
      </c>
      <c r="B3" s="1" t="n">
        <v>41.97</v>
      </c>
      <c r="C3" s="1" t="n">
        <v>61.98</v>
      </c>
      <c r="D3" s="1" t="n">
        <v>67.18</v>
      </c>
      <c r="E3" s="1" t="n">
        <v>57.99</v>
      </c>
      <c r="F3" s="1" t="n">
        <v>60.67</v>
      </c>
      <c r="G3" s="1" t="n">
        <v>60.04</v>
      </c>
      <c r="H3" s="1" t="n">
        <f aca="false">AVERAGE(B3:G3)</f>
        <v>58.305</v>
      </c>
      <c r="K3" s="1" t="s">
        <v>76</v>
      </c>
      <c r="L3" s="1" t="n">
        <v>43.3962249755859</v>
      </c>
      <c r="M3" s="1" t="n">
        <v>60.3773574829102</v>
      </c>
      <c r="N3" s="1" t="n">
        <v>51.6587677001953</v>
      </c>
      <c r="O3" s="1" t="n">
        <v>45.7547187805176</v>
      </c>
      <c r="P3" s="1" t="n">
        <v>58.4905662536621</v>
      </c>
      <c r="Q3" s="1" t="n">
        <v>53.9215698242188</v>
      </c>
      <c r="R3" s="1" t="n">
        <v>52.266534169515</v>
      </c>
    </row>
    <row r="4" customFormat="false" ht="15.75" hidden="false" customHeight="true" outlineLevel="0" collapsed="false">
      <c r="A4" s="1" t="s">
        <v>103</v>
      </c>
      <c r="B4" s="1" t="n">
        <v>37.33</v>
      </c>
      <c r="C4" s="1" t="n">
        <v>48.39</v>
      </c>
      <c r="D4" s="1" t="n">
        <v>54</v>
      </c>
      <c r="E4" s="1" t="n">
        <v>47.88</v>
      </c>
      <c r="F4" s="1" t="n">
        <v>41.91</v>
      </c>
      <c r="G4" s="1" t="n">
        <v>37.81</v>
      </c>
      <c r="H4" s="1" t="n">
        <f aca="false">AVERAGE(B4:G4)</f>
        <v>44.5533333333333</v>
      </c>
      <c r="K4" s="1" t="s">
        <v>103</v>
      </c>
      <c r="L4" s="1" t="n">
        <v>30.1886787414551</v>
      </c>
      <c r="M4" s="1" t="n">
        <v>27.3584899902344</v>
      </c>
      <c r="N4" s="1" t="n">
        <v>23.222749710083</v>
      </c>
      <c r="O4" s="1" t="n">
        <v>26.4150943756104</v>
      </c>
      <c r="P4" s="1" t="n">
        <v>16.0377349853516</v>
      </c>
      <c r="Q4" s="1" t="n">
        <v>22.0588226318359</v>
      </c>
      <c r="R4" s="1" t="n">
        <v>24.2135950724284</v>
      </c>
    </row>
    <row r="5" customFormat="false" ht="15.75" hidden="false" customHeight="true" outlineLevel="0" collapsed="false">
      <c r="A5" s="1" t="s">
        <v>172</v>
      </c>
      <c r="B5" s="1" t="n">
        <v>71.84</v>
      </c>
      <c r="C5" s="1" t="n">
        <v>70.14</v>
      </c>
      <c r="D5" s="1" t="n">
        <v>90.14</v>
      </c>
      <c r="E5" s="1" t="n">
        <v>80.85</v>
      </c>
      <c r="F5" s="1" t="n">
        <v>61.94</v>
      </c>
      <c r="H5" s="1" t="n">
        <f aca="false">AVERAGE(B5:G5)</f>
        <v>74.982</v>
      </c>
      <c r="K5" s="1" t="s">
        <v>172</v>
      </c>
      <c r="L5" s="1" t="n">
        <v>87.7358474731445</v>
      </c>
      <c r="M5" s="1" t="n">
        <v>73.1132049560547</v>
      </c>
      <c r="N5" s="1" t="n">
        <v>91.9431304931641</v>
      </c>
      <c r="O5" s="1" t="n">
        <v>85.3773574829102</v>
      </c>
      <c r="P5" s="1" t="n">
        <v>68.3962249755859</v>
      </c>
      <c r="R5" s="1" t="n">
        <v>81.3131530761719</v>
      </c>
    </row>
    <row r="6" customFormat="false" ht="15.75" hidden="false" customHeight="true" outlineLevel="0" collapsed="false">
      <c r="A6" s="1" t="s">
        <v>173</v>
      </c>
      <c r="B6" s="1" t="n">
        <v>71.84</v>
      </c>
      <c r="C6" s="1" t="n">
        <v>80.58</v>
      </c>
      <c r="D6" s="1" t="n">
        <v>93</v>
      </c>
      <c r="E6" s="1" t="n">
        <v>84.61</v>
      </c>
      <c r="F6" s="1" t="n">
        <v>70.13</v>
      </c>
      <c r="G6" s="1" t="n">
        <v>72.29</v>
      </c>
      <c r="H6" s="1" t="n">
        <f aca="false">AVERAGE(B6:G6)</f>
        <v>78.7416666666667</v>
      </c>
      <c r="K6" s="1" t="s">
        <v>173</v>
      </c>
      <c r="L6" s="1" t="n">
        <v>87.7358474731445</v>
      </c>
      <c r="M6" s="1" t="n">
        <v>91.0377349853516</v>
      </c>
      <c r="N6" s="1" t="n">
        <v>98.5782012939453</v>
      </c>
      <c r="O6" s="1" t="n">
        <v>91.5094375610352</v>
      </c>
      <c r="P6" s="1" t="n">
        <v>89.6226425170898</v>
      </c>
      <c r="Q6" s="1" t="n">
        <v>78.9215698242188</v>
      </c>
      <c r="R6" s="1" t="n">
        <v>89.5675722757975</v>
      </c>
    </row>
    <row r="7" customFormat="false" ht="15.75" hidden="false" customHeight="true" outlineLevel="0" collapsed="false">
      <c r="A7" s="1" t="s">
        <v>145</v>
      </c>
      <c r="B7" s="1" t="n">
        <v>34.28</v>
      </c>
      <c r="C7" s="1" t="n">
        <v>37.84</v>
      </c>
      <c r="D7" s="1" t="n">
        <v>57.94</v>
      </c>
      <c r="E7" s="1" t="n">
        <v>40.1</v>
      </c>
      <c r="F7" s="1" t="n">
        <v>42.69</v>
      </c>
      <c r="G7" s="1" t="n">
        <v>39.36</v>
      </c>
      <c r="H7" s="1" t="n">
        <f aca="false">AVERAGE(B7:G7)</f>
        <v>42.035</v>
      </c>
      <c r="K7" s="1" t="s">
        <v>145</v>
      </c>
      <c r="L7" s="1" t="n">
        <v>29.2452831268311</v>
      </c>
      <c r="M7" s="1" t="n">
        <v>14.6226415634155</v>
      </c>
      <c r="N7" s="1" t="n">
        <v>32.2274894714356</v>
      </c>
      <c r="O7" s="1" t="n">
        <v>14.6226415634155</v>
      </c>
      <c r="P7" s="1" t="n">
        <v>22.6415100097656</v>
      </c>
      <c r="Q7" s="1" t="n">
        <v>27.9411773681641</v>
      </c>
      <c r="R7" s="1" t="n">
        <v>23.5501238505046</v>
      </c>
    </row>
    <row r="8" customFormat="false" ht="15.75" hidden="false" customHeight="true" outlineLevel="0" collapsed="false">
      <c r="A8" s="1" t="s">
        <v>234</v>
      </c>
      <c r="B8" s="1" t="n">
        <v>71.84</v>
      </c>
      <c r="C8" s="1" t="n">
        <v>74.91</v>
      </c>
      <c r="D8" s="1" t="n">
        <v>90.36</v>
      </c>
      <c r="E8" s="1" t="n">
        <v>69.2</v>
      </c>
      <c r="F8" s="1" t="n">
        <v>70.13</v>
      </c>
      <c r="H8" s="1" t="n">
        <f aca="false">AVERAGE(B8:G8)</f>
        <v>75.288</v>
      </c>
      <c r="K8" s="1" t="s">
        <v>234</v>
      </c>
      <c r="L8" s="1" t="n">
        <v>87.7358474731445</v>
      </c>
      <c r="M8" s="1" t="n">
        <v>87.2641525268555</v>
      </c>
      <c r="N8" s="1" t="n">
        <v>91.9431304931641</v>
      </c>
      <c r="O8" s="1" t="n">
        <v>75</v>
      </c>
      <c r="P8" s="1" t="n">
        <v>79.2452850341797</v>
      </c>
      <c r="R8" s="1" t="n">
        <v>84.2376831054688</v>
      </c>
    </row>
    <row r="9" customFormat="false" ht="15.75" hidden="false" customHeight="true" outlineLevel="0" collapsed="false">
      <c r="A9" s="1" t="s">
        <v>222</v>
      </c>
      <c r="B9" s="1" t="n">
        <v>59.9</v>
      </c>
      <c r="C9" s="1" t="n">
        <v>61.36</v>
      </c>
      <c r="D9" s="1" t="n">
        <v>86.78</v>
      </c>
      <c r="E9" s="1" t="n">
        <v>68.01</v>
      </c>
      <c r="F9" s="1" t="n">
        <v>66.17</v>
      </c>
      <c r="G9" s="1" t="n">
        <v>67.81</v>
      </c>
      <c r="H9" s="1" t="n">
        <f aca="false">AVERAGE(B9:G9)</f>
        <v>68.3383333333333</v>
      </c>
      <c r="K9" s="1" t="s">
        <v>222</v>
      </c>
      <c r="L9" s="1" t="n">
        <v>62.2641525268555</v>
      </c>
      <c r="M9" s="1" t="n">
        <v>63.6792449951172</v>
      </c>
      <c r="N9" s="1" t="n">
        <v>80.568717956543</v>
      </c>
      <c r="O9" s="1" t="n">
        <v>59.9056587219238</v>
      </c>
      <c r="P9" s="1" t="n">
        <v>70.2830200195313</v>
      </c>
      <c r="Q9" s="1" t="n">
        <v>70.0980377197266</v>
      </c>
      <c r="R9" s="1" t="n">
        <v>67.7998053232829</v>
      </c>
    </row>
    <row r="10" customFormat="false" ht="15.75" hidden="false" customHeight="true" outlineLevel="0" collapsed="false">
      <c r="A10" s="1" t="s">
        <v>71</v>
      </c>
      <c r="B10" s="1" t="n">
        <v>40.26</v>
      </c>
      <c r="C10" s="1" t="n">
        <v>57.99</v>
      </c>
      <c r="D10" s="1" t="n">
        <v>68.45</v>
      </c>
      <c r="E10" s="1" t="n">
        <v>56.94</v>
      </c>
      <c r="F10" s="1" t="n">
        <v>53.89</v>
      </c>
      <c r="G10" s="1" t="n">
        <v>65.94</v>
      </c>
      <c r="H10" s="1" t="n">
        <f aca="false">AVERAGE(B10:G10)</f>
        <v>57.245</v>
      </c>
      <c r="K10" s="1" t="s">
        <v>71</v>
      </c>
      <c r="L10" s="1" t="n">
        <v>41.9811325073242</v>
      </c>
      <c r="M10" s="1" t="n">
        <v>36.3207550048828</v>
      </c>
      <c r="N10" s="1" t="n">
        <v>41.7061614990234</v>
      </c>
      <c r="O10" s="1" t="n">
        <v>37.7358474731445</v>
      </c>
      <c r="P10" s="1" t="n">
        <v>35.3773574829102</v>
      </c>
      <c r="Q10" s="1" t="n">
        <v>63.235294342041</v>
      </c>
      <c r="R10" s="1" t="n">
        <v>42.7260913848877</v>
      </c>
    </row>
    <row r="11" customFormat="false" ht="15.75" hidden="false" customHeight="true" outlineLevel="0" collapsed="false">
      <c r="A11" s="1" t="s">
        <v>77</v>
      </c>
      <c r="B11" s="1" t="n">
        <v>50.31</v>
      </c>
      <c r="C11" s="1" t="n">
        <v>47.49</v>
      </c>
      <c r="D11" s="1" t="n">
        <v>58.04</v>
      </c>
      <c r="E11" s="1" t="n">
        <v>54.26</v>
      </c>
      <c r="F11" s="1" t="n">
        <v>59.24</v>
      </c>
      <c r="G11" s="1" t="n">
        <v>59.94</v>
      </c>
      <c r="H11" s="1" t="n">
        <f aca="false">AVERAGE(B11:G11)</f>
        <v>54.88</v>
      </c>
      <c r="K11" s="1" t="s">
        <v>77</v>
      </c>
      <c r="L11" s="1" t="n">
        <v>57.0754699707031</v>
      </c>
      <c r="M11" s="1" t="n">
        <v>43.8679237365723</v>
      </c>
      <c r="N11" s="1" t="n">
        <v>17.0616111755371</v>
      </c>
      <c r="O11" s="1" t="n">
        <v>49.0566024780273</v>
      </c>
      <c r="P11" s="1" t="n">
        <v>52.8301887512207</v>
      </c>
      <c r="Q11" s="1" t="n">
        <v>50.4901962280273</v>
      </c>
      <c r="R11" s="1" t="n">
        <v>45.0636653900147</v>
      </c>
    </row>
    <row r="12" customFormat="false" ht="15.75" hidden="false" customHeight="true" outlineLevel="0" collapsed="false">
      <c r="A12" s="1" t="s">
        <v>194</v>
      </c>
      <c r="B12" s="1" t="n">
        <v>65.57</v>
      </c>
      <c r="C12" s="1" t="n">
        <v>70.86</v>
      </c>
      <c r="D12" s="1" t="n">
        <v>87.78</v>
      </c>
      <c r="E12" s="1" t="n">
        <v>78.83</v>
      </c>
      <c r="F12" s="1" t="n">
        <v>72.28</v>
      </c>
      <c r="G12" s="1" t="n">
        <v>78.16</v>
      </c>
      <c r="H12" s="1" t="n">
        <f aca="false">AVERAGE(B12:G12)</f>
        <v>75.58</v>
      </c>
      <c r="K12" s="1" t="s">
        <v>194</v>
      </c>
      <c r="L12" s="1" t="n">
        <v>75.4716949462891</v>
      </c>
      <c r="M12" s="1" t="n">
        <v>78.301887512207</v>
      </c>
      <c r="N12" s="1" t="n">
        <v>97.6303329467773</v>
      </c>
      <c r="O12" s="1" t="n">
        <v>87.2641525268555</v>
      </c>
      <c r="P12" s="1" t="n">
        <v>80.1886825561523</v>
      </c>
      <c r="Q12" s="1" t="n">
        <v>80.3921585083008</v>
      </c>
      <c r="R12" s="1" t="n">
        <v>83.2081514994303</v>
      </c>
    </row>
    <row r="13" customFormat="false" ht="15.75" hidden="false" customHeight="true" outlineLevel="0" collapsed="false">
      <c r="A13" s="1" t="s">
        <v>20</v>
      </c>
      <c r="B13" s="1" t="n">
        <v>85.12</v>
      </c>
      <c r="C13" s="1" t="n">
        <v>88.19</v>
      </c>
      <c r="D13" s="1" t="n">
        <v>79.29</v>
      </c>
      <c r="E13" s="1" t="n">
        <v>82.67</v>
      </c>
      <c r="F13" s="1" t="n">
        <v>84.23</v>
      </c>
      <c r="G13" s="1" t="n">
        <v>83.75</v>
      </c>
      <c r="H13" s="1" t="n">
        <f aca="false">AVERAGE(B13:G13)</f>
        <v>83.875</v>
      </c>
      <c r="K13" s="1" t="s">
        <v>20</v>
      </c>
      <c r="L13" s="1" t="n">
        <v>95.7547149658203</v>
      </c>
      <c r="M13" s="1" t="n">
        <v>93.8679275512695</v>
      </c>
      <c r="N13" s="1" t="n">
        <v>79.620849609375</v>
      </c>
      <c r="O13" s="1" t="n">
        <v>91.9811325073242</v>
      </c>
      <c r="P13" s="1" t="n">
        <v>99.5283050537109</v>
      </c>
      <c r="Q13" s="1" t="n">
        <v>96.0784301757813</v>
      </c>
      <c r="R13" s="1" t="n">
        <v>92.8052266438802</v>
      </c>
    </row>
    <row r="14" customFormat="false" ht="15.75" hidden="false" customHeight="true" outlineLevel="0" collapsed="false">
      <c r="A14" s="1" t="s">
        <v>28</v>
      </c>
      <c r="B14" s="1" t="n">
        <v>74.3</v>
      </c>
      <c r="C14" s="1" t="n">
        <v>83.94</v>
      </c>
      <c r="D14" s="1" t="n">
        <v>74.92</v>
      </c>
      <c r="E14" s="1" t="n">
        <v>85.83</v>
      </c>
      <c r="F14" s="1" t="n">
        <v>73.87</v>
      </c>
      <c r="G14" s="1" t="n">
        <v>83.77</v>
      </c>
      <c r="H14" s="1" t="n">
        <f aca="false">AVERAGE(B14:G14)</f>
        <v>79.4383333333333</v>
      </c>
      <c r="K14" s="1" t="s">
        <v>28</v>
      </c>
      <c r="L14" s="1" t="n">
        <v>83.4905624389648</v>
      </c>
      <c r="M14" s="1" t="n">
        <v>89.6226425170898</v>
      </c>
      <c r="N14" s="1" t="n">
        <v>71.5639801025391</v>
      </c>
      <c r="O14" s="1" t="n">
        <v>97.1698150634766</v>
      </c>
      <c r="P14" s="1" t="n">
        <v>90.0943374633789</v>
      </c>
      <c r="Q14" s="1" t="n">
        <v>93.6274490356445</v>
      </c>
      <c r="R14" s="1" t="n">
        <v>87.5947977701823</v>
      </c>
    </row>
    <row r="15" customFormat="false" ht="15.75" hidden="false" customHeight="true" outlineLevel="0" collapsed="false">
      <c r="A15" s="1" t="s">
        <v>95</v>
      </c>
      <c r="B15" s="1" t="n">
        <v>32.35</v>
      </c>
      <c r="C15" s="1" t="n">
        <v>54.91</v>
      </c>
      <c r="D15" s="1" t="n">
        <v>63.97</v>
      </c>
      <c r="E15" s="1" t="n">
        <v>51.1</v>
      </c>
      <c r="F15" s="1" t="n">
        <v>56.38</v>
      </c>
      <c r="G15" s="1" t="n">
        <v>29.73</v>
      </c>
      <c r="H15" s="1" t="n">
        <f aca="false">AVERAGE(B15:G15)</f>
        <v>48.0733333333333</v>
      </c>
      <c r="K15" s="1" t="s">
        <v>95</v>
      </c>
      <c r="L15" s="1" t="n">
        <v>12.2641506195068</v>
      </c>
      <c r="M15" s="1" t="n">
        <v>50.4716987609863</v>
      </c>
      <c r="N15" s="1" t="n">
        <v>18.0094795227051</v>
      </c>
      <c r="O15" s="1" t="n">
        <v>29.2452831268311</v>
      </c>
      <c r="P15" s="1" t="n">
        <v>49.0566024780273</v>
      </c>
      <c r="Q15" s="1" t="n">
        <v>9.31372547149658</v>
      </c>
      <c r="R15" s="1" t="n">
        <v>28.0601566632589</v>
      </c>
    </row>
    <row r="16" customFormat="false" ht="15.75" hidden="false" customHeight="true" outlineLevel="0" collapsed="false">
      <c r="A16" s="1" t="s">
        <v>116</v>
      </c>
      <c r="B16" s="1" t="n">
        <v>69.11</v>
      </c>
      <c r="C16" s="1" t="n">
        <v>65.63</v>
      </c>
      <c r="D16" s="1" t="n">
        <v>83.48</v>
      </c>
      <c r="E16" s="1" t="n">
        <v>62.41</v>
      </c>
      <c r="F16" s="1" t="n">
        <v>53.97</v>
      </c>
      <c r="G16" s="1" t="n">
        <v>69.32</v>
      </c>
      <c r="H16" s="1" t="n">
        <f aca="false">AVERAGE(B16:G16)</f>
        <v>67.32</v>
      </c>
      <c r="K16" s="1" t="s">
        <v>251</v>
      </c>
      <c r="L16" s="1" t="n">
        <v>88.2075500488281</v>
      </c>
      <c r="M16" s="1" t="n">
        <v>61.7924537658691</v>
      </c>
      <c r="N16" s="1" t="n">
        <v>84.8341217041016</v>
      </c>
      <c r="O16" s="1" t="n">
        <v>55.6603775024414</v>
      </c>
      <c r="P16" s="1" t="n">
        <v>51.8867912292481</v>
      </c>
      <c r="Q16" s="1" t="n">
        <v>74.0196075439453</v>
      </c>
      <c r="R16" s="1" t="n">
        <v>69.4001502990723</v>
      </c>
    </row>
    <row r="17" customFormat="false" ht="15.75" hidden="false" customHeight="true" outlineLevel="0" collapsed="false">
      <c r="A17" s="1" t="s">
        <v>39</v>
      </c>
      <c r="B17" s="1" t="n">
        <v>53.72</v>
      </c>
      <c r="C17" s="1" t="n">
        <v>60.95</v>
      </c>
      <c r="D17" s="1" t="n">
        <v>59.77</v>
      </c>
      <c r="E17" s="1" t="n">
        <v>61.59</v>
      </c>
      <c r="F17" s="1" t="n">
        <v>72.76</v>
      </c>
      <c r="G17" s="1" t="n">
        <v>30.7</v>
      </c>
      <c r="H17" s="1" t="n">
        <f aca="false">AVERAGE(B17:G17)</f>
        <v>56.5816666666667</v>
      </c>
      <c r="K17" s="1" t="s">
        <v>39</v>
      </c>
      <c r="L17" s="1" t="n">
        <v>59.4339637756348</v>
      </c>
      <c r="M17" s="1" t="n">
        <v>74.5283050537109</v>
      </c>
      <c r="N17" s="1" t="n">
        <v>29.3838863372803</v>
      </c>
      <c r="O17" s="1" t="n">
        <v>65.5660400390625</v>
      </c>
      <c r="P17" s="1" t="n">
        <v>83.9622650146484</v>
      </c>
      <c r="Q17" s="1" t="n">
        <v>11.2745094299316</v>
      </c>
      <c r="R17" s="1" t="n">
        <v>54.0248282750448</v>
      </c>
    </row>
    <row r="18" customFormat="false" ht="15.75" hidden="false" customHeight="true" outlineLevel="0" collapsed="false">
      <c r="A18" s="1" t="s">
        <v>107</v>
      </c>
      <c r="B18" s="1" t="n">
        <v>28.2</v>
      </c>
      <c r="C18" s="1" t="n">
        <v>43.24</v>
      </c>
      <c r="D18" s="1" t="n">
        <v>49.11</v>
      </c>
      <c r="E18" s="1" t="n">
        <v>43.64</v>
      </c>
      <c r="F18" s="1" t="n">
        <v>39.35</v>
      </c>
      <c r="G18" s="1" t="n">
        <v>44.49</v>
      </c>
      <c r="H18" s="1" t="n">
        <f aca="false">AVERAGE(B18:G18)</f>
        <v>41.3383333333333</v>
      </c>
      <c r="K18" s="1" t="s">
        <v>107</v>
      </c>
      <c r="L18" s="1" t="n">
        <v>14.6226415634155</v>
      </c>
      <c r="M18" s="1" t="n">
        <v>26.8867931365967</v>
      </c>
      <c r="N18" s="1" t="n">
        <v>15.6398105621338</v>
      </c>
      <c r="O18" s="1" t="n">
        <v>33.4905662536621</v>
      </c>
      <c r="P18" s="1" t="n">
        <v>18.8679237365723</v>
      </c>
      <c r="Q18" s="1" t="n">
        <v>27.4509811401367</v>
      </c>
      <c r="R18" s="1" t="n">
        <v>22.8264527320862</v>
      </c>
    </row>
    <row r="19" customFormat="false" ht="15.75" hidden="false" customHeight="true" outlineLevel="0" collapsed="false">
      <c r="A19" s="1" t="s">
        <v>190</v>
      </c>
      <c r="B19" s="1" t="n">
        <v>72.8</v>
      </c>
      <c r="C19" s="1" t="n">
        <v>64.85</v>
      </c>
      <c r="D19" s="1" t="n">
        <v>88.05</v>
      </c>
      <c r="E19" s="1" t="n">
        <v>70.49</v>
      </c>
      <c r="F19" s="1" t="n">
        <v>62.28</v>
      </c>
      <c r="G19" s="1" t="n">
        <v>77.65</v>
      </c>
      <c r="H19" s="1" t="n">
        <f aca="false">AVERAGE(B19:G19)</f>
        <v>72.6866666666667</v>
      </c>
      <c r="K19" s="1" t="s">
        <v>190</v>
      </c>
      <c r="L19" s="1" t="n">
        <v>89.6226425170898</v>
      </c>
      <c r="M19" s="1" t="n">
        <v>64.1509399414063</v>
      </c>
      <c r="N19" s="1" t="n">
        <v>93.8388595581055</v>
      </c>
      <c r="O19" s="1" t="n">
        <v>62.2641525268555</v>
      </c>
      <c r="P19" s="1" t="n">
        <v>67.4528274536133</v>
      </c>
      <c r="Q19" s="1" t="n">
        <v>87.2549057006836</v>
      </c>
      <c r="R19" s="1" t="n">
        <v>77.430721282959</v>
      </c>
    </row>
    <row r="20" customFormat="false" ht="15.75" hidden="false" customHeight="true" outlineLevel="0" collapsed="false">
      <c r="A20" s="1" t="s">
        <v>78</v>
      </c>
      <c r="B20" s="1" t="n">
        <v>36.5</v>
      </c>
      <c r="C20" s="1" t="n">
        <v>36</v>
      </c>
      <c r="D20" s="1" t="n">
        <v>62.57</v>
      </c>
      <c r="E20" s="1" t="n">
        <v>38.41</v>
      </c>
      <c r="F20" s="1" t="n">
        <v>33.82</v>
      </c>
      <c r="G20" s="1" t="n">
        <v>25.81</v>
      </c>
      <c r="H20" s="1" t="n">
        <f aca="false">AVERAGE(B20:G20)</f>
        <v>38.8516666666667</v>
      </c>
      <c r="K20" s="1" t="s">
        <v>78</v>
      </c>
      <c r="L20" s="1" t="n">
        <v>26.8867931365967</v>
      </c>
      <c r="M20" s="1" t="n">
        <v>15.0943393707275</v>
      </c>
      <c r="N20" s="1" t="n">
        <v>18.4834117889404</v>
      </c>
      <c r="O20" s="1" t="n">
        <v>11.3207550048828</v>
      </c>
      <c r="P20" s="1" t="n">
        <v>7.54716968536377</v>
      </c>
      <c r="Q20" s="1" t="n">
        <v>3.92156863212585</v>
      </c>
      <c r="R20" s="1" t="n">
        <v>13.8756729364395</v>
      </c>
    </row>
    <row r="21" customFormat="false" ht="15.75" hidden="false" customHeight="true" outlineLevel="0" collapsed="false">
      <c r="A21" s="1" t="s">
        <v>30</v>
      </c>
      <c r="B21" s="1" t="n">
        <v>75.56</v>
      </c>
      <c r="C21" s="1" t="n">
        <v>79.31</v>
      </c>
      <c r="D21" s="1" t="n">
        <v>68.64</v>
      </c>
      <c r="E21" s="1" t="n">
        <v>79.49</v>
      </c>
      <c r="F21" s="1" t="n">
        <v>76.34</v>
      </c>
      <c r="G21" s="1" t="n">
        <v>83.91</v>
      </c>
      <c r="H21" s="1" t="n">
        <f aca="false">AVERAGE(B21:G21)</f>
        <v>77.2083333333333</v>
      </c>
      <c r="K21" s="1" t="s">
        <v>30</v>
      </c>
      <c r="L21" s="1" t="n">
        <v>89.1509399414063</v>
      </c>
      <c r="M21" s="1" t="n">
        <v>80.6603775024414</v>
      </c>
      <c r="N21" s="1" t="n">
        <v>58.2938385009766</v>
      </c>
      <c r="O21" s="1" t="n">
        <v>88.2075500488281</v>
      </c>
      <c r="P21" s="1" t="n">
        <v>85.8490600585938</v>
      </c>
      <c r="Q21" s="1" t="n">
        <v>92.6470565795898</v>
      </c>
      <c r="R21" s="1" t="n">
        <v>82.468137105306</v>
      </c>
    </row>
    <row r="22" customFormat="false" ht="15.75" hidden="false" customHeight="true" outlineLevel="0" collapsed="false">
      <c r="A22" s="1" t="s">
        <v>137</v>
      </c>
      <c r="B22" s="1" t="n">
        <v>45.18</v>
      </c>
      <c r="C22" s="1" t="n">
        <v>48.56</v>
      </c>
      <c r="D22" s="1" t="n">
        <v>79.79</v>
      </c>
      <c r="E22" s="1" t="n">
        <v>52.52</v>
      </c>
      <c r="F22" s="1" t="n">
        <v>46.08</v>
      </c>
      <c r="G22" s="1" t="n">
        <v>61.56</v>
      </c>
      <c r="H22" s="1" t="n">
        <f aca="false">AVERAGE(B22:G22)</f>
        <v>55.615</v>
      </c>
      <c r="K22" s="1" t="s">
        <v>137</v>
      </c>
      <c r="L22" s="1" t="n">
        <v>48.113208770752</v>
      </c>
      <c r="M22" s="1" t="n">
        <v>36.7924537658691</v>
      </c>
      <c r="N22" s="1" t="n">
        <v>65.4028472900391</v>
      </c>
      <c r="O22" s="1" t="n">
        <v>27.8301887512207</v>
      </c>
      <c r="P22" s="1" t="n">
        <v>35.8490562438965</v>
      </c>
      <c r="Q22" s="1" t="n">
        <v>63.7254905700684</v>
      </c>
      <c r="R22" s="1" t="n">
        <v>46.285540898641</v>
      </c>
    </row>
    <row r="23" customFormat="false" ht="15.75" hidden="false" customHeight="true" outlineLevel="0" collapsed="false">
      <c r="A23" s="1" t="s">
        <v>252</v>
      </c>
      <c r="B23" s="1" t="n">
        <v>43.78</v>
      </c>
      <c r="C23" s="1" t="n">
        <v>48.92</v>
      </c>
      <c r="D23" s="1" t="n">
        <v>58.62</v>
      </c>
      <c r="E23" s="1" t="n">
        <v>51.12</v>
      </c>
      <c r="F23" s="1" t="n">
        <v>50.4</v>
      </c>
      <c r="G23" s="1" t="n">
        <v>51.47</v>
      </c>
      <c r="H23" s="1" t="n">
        <f aca="false">AVERAGE(B23:G23)</f>
        <v>50.7183333333333</v>
      </c>
      <c r="K23" s="1" t="s">
        <v>252</v>
      </c>
      <c r="L23" s="1" t="n">
        <v>52.8301887512207</v>
      </c>
      <c r="M23" s="1" t="n">
        <v>42.4528312683106</v>
      </c>
      <c r="N23" s="1" t="n">
        <v>31.7535552978516</v>
      </c>
      <c r="O23" s="1" t="n">
        <v>33.0188674926758</v>
      </c>
      <c r="P23" s="1" t="n">
        <v>40.5660362243652</v>
      </c>
      <c r="Q23" s="1" t="n">
        <v>40.1960792541504</v>
      </c>
      <c r="R23" s="1" t="n">
        <v>40.1362597147624</v>
      </c>
    </row>
    <row r="24" customFormat="false" ht="15.75" hidden="false" customHeight="true" outlineLevel="0" collapsed="false">
      <c r="A24" s="1" t="s">
        <v>114</v>
      </c>
      <c r="B24" s="1" t="n">
        <v>71.84</v>
      </c>
      <c r="C24" s="1" t="n">
        <v>82.38</v>
      </c>
      <c r="D24" s="1" t="n">
        <v>84.54</v>
      </c>
      <c r="E24" s="1" t="n">
        <v>71.94</v>
      </c>
      <c r="F24" s="1" t="n">
        <v>66.04</v>
      </c>
      <c r="H24" s="1" t="n">
        <f aca="false">AVERAGE(B24:G24)</f>
        <v>75.348</v>
      </c>
      <c r="K24" s="1" t="s">
        <v>114</v>
      </c>
      <c r="L24" s="1" t="n">
        <v>87.7358474731445</v>
      </c>
      <c r="M24" s="1" t="n">
        <v>87.2641525268555</v>
      </c>
      <c r="N24" s="1" t="n">
        <v>86.7298583984375</v>
      </c>
      <c r="O24" s="1" t="n">
        <v>75</v>
      </c>
      <c r="P24" s="1" t="n">
        <v>79.2452850341797</v>
      </c>
      <c r="R24" s="1" t="n">
        <v>83.1950286865234</v>
      </c>
    </row>
    <row r="25" customFormat="false" ht="15.75" hidden="false" customHeight="true" outlineLevel="0" collapsed="false">
      <c r="A25" s="1" t="s">
        <v>198</v>
      </c>
      <c r="B25" s="1" t="n">
        <v>77.76</v>
      </c>
      <c r="C25" s="1" t="n">
        <v>66.79</v>
      </c>
      <c r="D25" s="1" t="n">
        <v>90.02</v>
      </c>
      <c r="E25" s="1" t="n">
        <v>70.52</v>
      </c>
      <c r="F25" s="1" t="n">
        <v>53.89</v>
      </c>
      <c r="G25" s="1" t="n">
        <v>61.6</v>
      </c>
      <c r="H25" s="1" t="n">
        <f aca="false">AVERAGE(B25:G25)</f>
        <v>70.0966666666667</v>
      </c>
      <c r="K25" s="1" t="s">
        <v>198</v>
      </c>
      <c r="L25" s="1" t="n">
        <v>91.0377349853516</v>
      </c>
      <c r="M25" s="1" t="n">
        <v>69.3396224975586</v>
      </c>
      <c r="N25" s="1" t="n">
        <v>83.4123229980469</v>
      </c>
      <c r="O25" s="1" t="n">
        <v>72.6415100097656</v>
      </c>
      <c r="P25" s="1" t="n">
        <v>36.7924537658691</v>
      </c>
      <c r="Q25" s="1" t="n">
        <v>54.9019622802734</v>
      </c>
      <c r="R25" s="1" t="n">
        <v>68.0209344228109</v>
      </c>
    </row>
    <row r="26" customFormat="false" ht="15.75" hidden="false" customHeight="true" outlineLevel="0" collapsed="false">
      <c r="A26" s="1" t="s">
        <v>104</v>
      </c>
      <c r="B26" s="1" t="n">
        <v>24.13</v>
      </c>
      <c r="C26" s="1" t="n">
        <v>39.72</v>
      </c>
      <c r="D26" s="1" t="n">
        <v>62.74</v>
      </c>
      <c r="E26" s="1" t="n">
        <v>36.42</v>
      </c>
      <c r="F26" s="1" t="n">
        <v>34.46</v>
      </c>
      <c r="G26" s="1" t="n">
        <v>54.54</v>
      </c>
      <c r="H26" s="1" t="n">
        <f aca="false">AVERAGE(B26:G26)</f>
        <v>42.0016666666667</v>
      </c>
      <c r="K26" s="1" t="s">
        <v>104</v>
      </c>
      <c r="L26" s="1" t="n">
        <v>21.698112487793</v>
      </c>
      <c r="M26" s="1" t="n">
        <v>29.2452831268311</v>
      </c>
      <c r="N26" s="1" t="n">
        <v>35.0710906982422</v>
      </c>
      <c r="O26" s="1" t="n">
        <v>11.7924528121948</v>
      </c>
      <c r="P26" s="1" t="n">
        <v>11.7924528121948</v>
      </c>
      <c r="Q26" s="1" t="n">
        <v>39.2156867980957</v>
      </c>
      <c r="R26" s="1" t="n">
        <v>24.8025131225586</v>
      </c>
    </row>
    <row r="27" customFormat="false" ht="15.75" hidden="false" customHeight="true" outlineLevel="0" collapsed="false">
      <c r="A27" s="1" t="s">
        <v>69</v>
      </c>
      <c r="B27" s="1" t="n">
        <v>38.35</v>
      </c>
      <c r="C27" s="1" t="n">
        <v>42.6</v>
      </c>
      <c r="D27" s="1" t="n">
        <v>59.65</v>
      </c>
      <c r="E27" s="1" t="n">
        <v>53.03</v>
      </c>
      <c r="F27" s="1" t="n">
        <v>48.55</v>
      </c>
      <c r="G27" s="1" t="n">
        <v>53.03</v>
      </c>
      <c r="H27" s="1" t="n">
        <f aca="false">AVERAGE(B27:G27)</f>
        <v>49.2016666666667</v>
      </c>
      <c r="K27" s="1" t="s">
        <v>253</v>
      </c>
      <c r="L27" s="1" t="n">
        <v>30.6603775024414</v>
      </c>
      <c r="M27" s="1" t="n">
        <v>15.5660381317139</v>
      </c>
      <c r="N27" s="1" t="n">
        <v>31.2796211242676</v>
      </c>
      <c r="O27" s="1" t="n">
        <v>39.6226425170898</v>
      </c>
      <c r="P27" s="1" t="n">
        <v>46.698112487793</v>
      </c>
      <c r="Q27" s="1" t="n">
        <v>38.235294342041</v>
      </c>
      <c r="R27" s="1" t="n">
        <v>33.6770143508911</v>
      </c>
    </row>
    <row r="28" customFormat="false" ht="15.75" hidden="false" customHeight="true" outlineLevel="0" collapsed="false">
      <c r="A28" s="1" t="s">
        <v>156</v>
      </c>
      <c r="B28" s="1" t="n">
        <v>59.94</v>
      </c>
      <c r="C28" s="1" t="n">
        <v>61.23</v>
      </c>
      <c r="D28" s="1" t="n">
        <v>84.51</v>
      </c>
      <c r="E28" s="1" t="n">
        <v>63.26</v>
      </c>
      <c r="F28" s="1" t="n">
        <v>61.6</v>
      </c>
      <c r="G28" s="1" t="n">
        <v>64.99</v>
      </c>
      <c r="H28" s="1" t="n">
        <f aca="false">AVERAGE(B28:G28)</f>
        <v>65.9216666666667</v>
      </c>
      <c r="K28" s="1" t="s">
        <v>156</v>
      </c>
      <c r="L28" s="1" t="n">
        <v>73.5849075317383</v>
      </c>
      <c r="M28" s="1" t="n">
        <v>66.9811325073242</v>
      </c>
      <c r="N28" s="1" t="n">
        <v>87.2037887573242</v>
      </c>
      <c r="O28" s="1" t="n">
        <v>61.3207550048828</v>
      </c>
      <c r="P28" s="1" t="n">
        <v>66.9811325073242</v>
      </c>
      <c r="Q28" s="1" t="n">
        <v>62.7450981140137</v>
      </c>
      <c r="R28" s="1" t="n">
        <v>69.8028024037679</v>
      </c>
    </row>
    <row r="29" customFormat="false" ht="15.75" hidden="false" customHeight="true" outlineLevel="0" collapsed="false">
      <c r="A29" s="1" t="s">
        <v>91</v>
      </c>
      <c r="B29" s="1" t="n">
        <v>40.36</v>
      </c>
      <c r="C29" s="1" t="n">
        <v>51.61</v>
      </c>
      <c r="D29" s="1" t="n">
        <v>58.87</v>
      </c>
      <c r="E29" s="1" t="n">
        <v>50.63</v>
      </c>
      <c r="F29" s="1" t="n">
        <v>47.89</v>
      </c>
      <c r="G29" s="1" t="n">
        <v>65.47</v>
      </c>
      <c r="H29" s="1" t="n">
        <f aca="false">AVERAGE(B29:G29)</f>
        <v>52.4716666666667</v>
      </c>
      <c r="K29" s="1" t="s">
        <v>91</v>
      </c>
      <c r="L29" s="1" t="n">
        <v>34.4339637756348</v>
      </c>
      <c r="M29" s="1" t="n">
        <v>32.0754699707031</v>
      </c>
      <c r="N29" s="1" t="n">
        <v>28.4360198974609</v>
      </c>
      <c r="O29" s="1" t="n">
        <v>41.9811325073242</v>
      </c>
      <c r="P29" s="1" t="n">
        <v>40.0943412780762</v>
      </c>
      <c r="Q29" s="1" t="n">
        <v>59.8039207458496</v>
      </c>
      <c r="R29" s="1" t="n">
        <v>39.4708080291748</v>
      </c>
    </row>
    <row r="30" customFormat="false" ht="15.75" hidden="false" customHeight="true" outlineLevel="0" collapsed="false">
      <c r="A30" s="1" t="s">
        <v>135</v>
      </c>
      <c r="B30" s="1" t="n">
        <v>68.07</v>
      </c>
      <c r="C30" s="1" t="n">
        <v>70.61</v>
      </c>
      <c r="D30" s="1" t="n">
        <v>91.88</v>
      </c>
      <c r="E30" s="1" t="n">
        <v>69.73</v>
      </c>
      <c r="F30" s="1" t="n">
        <v>72.07</v>
      </c>
      <c r="G30" s="1" t="n">
        <v>40.22</v>
      </c>
      <c r="H30" s="1" t="n">
        <f aca="false">AVERAGE(B30:G30)</f>
        <v>68.7633333333333</v>
      </c>
      <c r="K30" s="1" t="s">
        <v>254</v>
      </c>
      <c r="L30" s="1" t="n">
        <v>88.6792449951172</v>
      </c>
      <c r="M30" s="1" t="n">
        <v>90.0943374633789</v>
      </c>
      <c r="N30" s="1" t="n">
        <v>96.6824645996094</v>
      </c>
      <c r="O30" s="1" t="n">
        <v>79.2452850341797</v>
      </c>
      <c r="P30" s="1" t="n">
        <v>80.6603775024414</v>
      </c>
      <c r="Q30" s="1" t="n">
        <v>28.9215679168701</v>
      </c>
      <c r="R30" s="1" t="n">
        <v>77.3805462519328</v>
      </c>
    </row>
    <row r="31" customFormat="false" ht="15.75" hidden="false" customHeight="true" outlineLevel="0" collapsed="false">
      <c r="A31" s="1" t="s">
        <v>58</v>
      </c>
      <c r="B31" s="1" t="n">
        <v>42.22</v>
      </c>
      <c r="C31" s="1" t="n">
        <v>54.91</v>
      </c>
      <c r="D31" s="1" t="n">
        <v>69.9</v>
      </c>
      <c r="E31" s="1" t="n">
        <v>57.88</v>
      </c>
      <c r="F31" s="1" t="n">
        <v>61.34</v>
      </c>
      <c r="G31" s="1" t="n">
        <v>62.65</v>
      </c>
      <c r="H31" s="1" t="n">
        <f aca="false">AVERAGE(B31:G31)</f>
        <v>58.15</v>
      </c>
      <c r="K31" s="1" t="s">
        <v>58</v>
      </c>
      <c r="L31" s="1" t="n">
        <v>50</v>
      </c>
      <c r="M31" s="1" t="n">
        <v>53.301887512207</v>
      </c>
      <c r="N31" s="1" t="n">
        <v>55.4502372741699</v>
      </c>
      <c r="O31" s="1" t="n">
        <v>53.7735862731934</v>
      </c>
      <c r="P31" s="1" t="n">
        <v>65.5660400390625</v>
      </c>
      <c r="Q31" s="1" t="n">
        <v>60.294116973877</v>
      </c>
      <c r="R31" s="1" t="n">
        <v>56.3976446787516</v>
      </c>
    </row>
    <row r="32" customFormat="false" ht="15.75" hidden="false" customHeight="true" outlineLevel="0" collapsed="false">
      <c r="A32" s="1" t="s">
        <v>255</v>
      </c>
      <c r="B32" s="1" t="n">
        <v>43.51</v>
      </c>
      <c r="C32" s="1" t="n">
        <v>36.15</v>
      </c>
      <c r="D32" s="1" t="n">
        <v>34.09</v>
      </c>
      <c r="E32" s="1" t="n">
        <v>43.48</v>
      </c>
      <c r="F32" s="1" t="n">
        <v>44.63</v>
      </c>
      <c r="G32" s="1" t="n">
        <v>35.63</v>
      </c>
      <c r="H32" s="1" t="n">
        <f aca="false">AVERAGE(B32:G32)</f>
        <v>39.5816666666667</v>
      </c>
      <c r="K32" s="1" t="s">
        <v>255</v>
      </c>
      <c r="L32" s="1" t="n">
        <v>49.5283012390137</v>
      </c>
      <c r="M32" s="1" t="n">
        <v>21.2264156341553</v>
      </c>
      <c r="N32" s="1" t="n">
        <v>5.68720388412476</v>
      </c>
      <c r="O32" s="1" t="n">
        <v>24.5283012390137</v>
      </c>
      <c r="P32" s="1" t="n">
        <v>34.9056587219238</v>
      </c>
      <c r="Q32" s="1" t="n">
        <v>25.4901962280273</v>
      </c>
      <c r="R32" s="1" t="n">
        <v>26.8943461577098</v>
      </c>
    </row>
    <row r="33" customFormat="false" ht="15.75" hidden="false" customHeight="true" outlineLevel="0" collapsed="false">
      <c r="A33" s="1" t="s">
        <v>214</v>
      </c>
      <c r="B33" s="1" t="n">
        <v>17</v>
      </c>
      <c r="C33" s="1" t="n">
        <v>26.7</v>
      </c>
      <c r="D33" s="1" t="n">
        <v>43.99</v>
      </c>
      <c r="E33" s="1" t="n">
        <v>35.02</v>
      </c>
      <c r="F33" s="1" t="n">
        <v>40.55</v>
      </c>
      <c r="G33" s="1" t="n">
        <v>29.49</v>
      </c>
      <c r="H33" s="1" t="n">
        <f aca="false">AVERAGE(B33:G33)</f>
        <v>32.125</v>
      </c>
      <c r="K33" s="1" t="s">
        <v>214</v>
      </c>
      <c r="L33" s="1" t="n">
        <v>3.30188679695129</v>
      </c>
      <c r="M33" s="1" t="n">
        <v>11.3207550048828</v>
      </c>
      <c r="N33" s="1" t="n">
        <v>12.7962083816528</v>
      </c>
      <c r="O33" s="1" t="n">
        <v>10.8490562438965</v>
      </c>
      <c r="P33" s="1" t="n">
        <v>15.5660381317139</v>
      </c>
      <c r="Q33" s="1" t="n">
        <v>11.764705657959</v>
      </c>
      <c r="R33" s="1" t="n">
        <v>10.9331083695094</v>
      </c>
    </row>
    <row r="34" customFormat="false" ht="15.75" hidden="false" customHeight="true" outlineLevel="0" collapsed="false">
      <c r="A34" s="1" t="s">
        <v>152</v>
      </c>
      <c r="B34" s="1" t="n">
        <v>22.56</v>
      </c>
      <c r="C34" s="1" t="n">
        <v>44.14</v>
      </c>
      <c r="D34" s="1" t="n">
        <v>71.47</v>
      </c>
      <c r="E34" s="1" t="n">
        <v>41.35</v>
      </c>
      <c r="F34" s="1" t="n">
        <v>45.4</v>
      </c>
      <c r="G34" s="1" t="n">
        <v>27.51</v>
      </c>
      <c r="H34" s="1" t="n">
        <f aca="false">AVERAGE(B34:G34)</f>
        <v>42.0716666666667</v>
      </c>
      <c r="K34" s="1" t="s">
        <v>152</v>
      </c>
      <c r="L34" s="1" t="n">
        <v>9.43396186828613</v>
      </c>
      <c r="M34" s="1" t="n">
        <v>38.2075462341309</v>
      </c>
      <c r="N34" s="1" t="n">
        <v>47.8672981262207</v>
      </c>
      <c r="O34" s="1" t="n">
        <v>23.5849056243897</v>
      </c>
      <c r="P34" s="1" t="n">
        <v>25.4716987609863</v>
      </c>
      <c r="Q34" s="1" t="n">
        <v>12.7450981140137</v>
      </c>
      <c r="R34" s="1" t="n">
        <v>26.2184181213379</v>
      </c>
    </row>
    <row r="35" customFormat="false" ht="15.75" hidden="false" customHeight="true" outlineLevel="0" collapsed="false">
      <c r="A35" s="1" t="s">
        <v>143</v>
      </c>
      <c r="B35" s="1" t="n">
        <v>23.75</v>
      </c>
      <c r="C35" s="1" t="n">
        <v>36.07</v>
      </c>
      <c r="D35" s="1" t="n">
        <v>35.96</v>
      </c>
      <c r="E35" s="1" t="n">
        <v>38.97</v>
      </c>
      <c r="F35" s="1" t="n">
        <v>41.95</v>
      </c>
      <c r="G35" s="1" t="n">
        <v>34.68</v>
      </c>
      <c r="H35" s="1" t="n">
        <f aca="false">AVERAGE(B35:G35)</f>
        <v>35.23</v>
      </c>
      <c r="K35" s="1" t="s">
        <v>143</v>
      </c>
      <c r="L35" s="1" t="n">
        <v>13.2075471878052</v>
      </c>
      <c r="M35" s="1" t="n">
        <v>17.4528293609619</v>
      </c>
      <c r="N35" s="1" t="n">
        <v>11.3744077682495</v>
      </c>
      <c r="O35" s="1" t="n">
        <v>16.5094337463379</v>
      </c>
      <c r="P35" s="1" t="n">
        <v>19.3396224975586</v>
      </c>
      <c r="Q35" s="1" t="n">
        <v>19.6078433990479</v>
      </c>
      <c r="R35" s="1" t="n">
        <v>16.2486139933268</v>
      </c>
    </row>
    <row r="36" customFormat="false" ht="15.75" hidden="false" customHeight="true" outlineLevel="0" collapsed="false">
      <c r="A36" s="1" t="s">
        <v>31</v>
      </c>
      <c r="B36" s="1" t="n">
        <v>80.21</v>
      </c>
      <c r="C36" s="1" t="n">
        <v>88.31</v>
      </c>
      <c r="D36" s="1" t="n">
        <v>79.8</v>
      </c>
      <c r="E36" s="1" t="n">
        <v>82.97</v>
      </c>
      <c r="F36" s="1" t="n">
        <v>80.3</v>
      </c>
      <c r="G36" s="1" t="n">
        <v>85.16</v>
      </c>
      <c r="H36" s="1" t="n">
        <f aca="false">AVERAGE(B36:G36)</f>
        <v>82.7916666666667</v>
      </c>
      <c r="K36" s="1" t="s">
        <v>31</v>
      </c>
      <c r="L36" s="1" t="n">
        <v>94.8113174438477</v>
      </c>
      <c r="M36" s="1" t="n">
        <v>91.9811325073242</v>
      </c>
      <c r="N36" s="1" t="n">
        <v>76.3033142089844</v>
      </c>
      <c r="O36" s="1" t="n">
        <v>90.0943374633789</v>
      </c>
      <c r="P36" s="1" t="n">
        <v>94.8113174438477</v>
      </c>
      <c r="Q36" s="1" t="n">
        <v>95.0980377197266</v>
      </c>
      <c r="R36" s="1" t="n">
        <v>90.5165761311849</v>
      </c>
    </row>
    <row r="37" customFormat="false" ht="15.75" hidden="false" customHeight="true" outlineLevel="0" collapsed="false">
      <c r="A37" s="1" t="s">
        <v>142</v>
      </c>
      <c r="B37" s="1" t="n">
        <v>66.34</v>
      </c>
      <c r="C37" s="1" t="n">
        <v>62.83</v>
      </c>
      <c r="D37" s="1" t="n">
        <v>80.66</v>
      </c>
      <c r="E37" s="1" t="n">
        <v>66.13</v>
      </c>
      <c r="F37" s="1" t="n">
        <v>55.64</v>
      </c>
      <c r="G37" s="1" t="n">
        <v>73.88</v>
      </c>
      <c r="H37" s="1" t="n">
        <f aca="false">AVERAGE(B37:G37)</f>
        <v>67.58</v>
      </c>
      <c r="K37" s="1" t="s">
        <v>142</v>
      </c>
      <c r="L37" s="1" t="n">
        <v>81.1320724487305</v>
      </c>
      <c r="M37" s="1" t="n">
        <v>52.3584899902344</v>
      </c>
      <c r="N37" s="1" t="n">
        <v>79.1469192504883</v>
      </c>
      <c r="O37" s="1" t="n">
        <v>61.7924537658691</v>
      </c>
      <c r="P37" s="1" t="n">
        <v>59.9056587219238</v>
      </c>
      <c r="Q37" s="1" t="n">
        <v>77.4509811401367</v>
      </c>
      <c r="R37" s="1" t="n">
        <v>68.6310958862305</v>
      </c>
    </row>
    <row r="38" customFormat="false" ht="15.75" hidden="false" customHeight="true" outlineLevel="0" collapsed="false">
      <c r="A38" s="1" t="s">
        <v>115</v>
      </c>
      <c r="B38" s="1" t="n">
        <v>60.24</v>
      </c>
      <c r="C38" s="1" t="n">
        <v>74.09</v>
      </c>
      <c r="D38" s="1" t="n">
        <v>91.71</v>
      </c>
      <c r="E38" s="1" t="n">
        <v>74.52</v>
      </c>
      <c r="F38" s="1" t="n">
        <v>67.08</v>
      </c>
      <c r="G38" s="1" t="n">
        <v>78.16</v>
      </c>
      <c r="H38" s="1" t="n">
        <f aca="false">AVERAGE(B38:G38)</f>
        <v>74.3</v>
      </c>
      <c r="K38" s="1" t="s">
        <v>115</v>
      </c>
      <c r="L38" s="1" t="n">
        <v>65.0943374633789</v>
      </c>
      <c r="M38" s="1" t="n">
        <v>88.2075500488281</v>
      </c>
      <c r="N38" s="1" t="n">
        <v>99.5260696411133</v>
      </c>
      <c r="O38" s="1" t="n">
        <v>76.4150924682617</v>
      </c>
      <c r="P38" s="1" t="n">
        <v>83.4905624389648</v>
      </c>
      <c r="Q38" s="1" t="n">
        <v>71.5686264038086</v>
      </c>
      <c r="R38" s="1" t="n">
        <v>80.7170397440593</v>
      </c>
    </row>
    <row r="39" customFormat="false" ht="15.75" hidden="false" customHeight="true" outlineLevel="0" collapsed="false">
      <c r="A39" s="1" t="s">
        <v>256</v>
      </c>
      <c r="B39" s="1" t="n">
        <v>21.32</v>
      </c>
      <c r="C39" s="1" t="n">
        <v>19.3</v>
      </c>
      <c r="D39" s="1" t="n">
        <v>35.92</v>
      </c>
      <c r="E39" s="1" t="n">
        <v>30.67</v>
      </c>
      <c r="F39" s="1" t="n">
        <v>32.98</v>
      </c>
      <c r="G39" s="1" t="n">
        <v>34.47</v>
      </c>
      <c r="H39" s="1" t="n">
        <f aca="false">AVERAGE(B39:G39)</f>
        <v>29.11</v>
      </c>
      <c r="K39" s="1" t="s">
        <v>256</v>
      </c>
      <c r="L39" s="1" t="n">
        <v>8.96226406097412</v>
      </c>
      <c r="M39" s="1" t="n">
        <v>4.24528312683106</v>
      </c>
      <c r="N39" s="1" t="n">
        <v>3.3175356388092</v>
      </c>
      <c r="O39" s="1" t="n">
        <v>3.30188679695129</v>
      </c>
      <c r="P39" s="1" t="n">
        <v>6.13207530975342</v>
      </c>
      <c r="Q39" s="1" t="n">
        <v>14.2156858444214</v>
      </c>
      <c r="R39" s="1" t="n">
        <v>6.69578846295675</v>
      </c>
    </row>
    <row r="40" customFormat="false" ht="15.75" hidden="false" customHeight="true" outlineLevel="0" collapsed="false">
      <c r="A40" s="1" t="s">
        <v>257</v>
      </c>
      <c r="B40" s="1" t="n">
        <v>20.98</v>
      </c>
      <c r="C40" s="1" t="n">
        <v>30.75</v>
      </c>
      <c r="D40" s="1" t="n">
        <v>38.03</v>
      </c>
      <c r="E40" s="1" t="n">
        <v>35.39</v>
      </c>
      <c r="F40" s="1" t="n">
        <v>36.48</v>
      </c>
      <c r="G40" s="1" t="n">
        <v>31.03</v>
      </c>
      <c r="H40" s="1" t="n">
        <f aca="false">AVERAGE(B40:G40)</f>
        <v>32.11</v>
      </c>
      <c r="K40" s="1" t="s">
        <v>257</v>
      </c>
      <c r="L40" s="1" t="n">
        <v>4.71698093414307</v>
      </c>
      <c r="M40" s="1" t="n">
        <v>7.54716968536377</v>
      </c>
      <c r="N40" s="1" t="n">
        <v>9.00473976135254</v>
      </c>
      <c r="O40" s="1" t="n">
        <v>8.01886749267578</v>
      </c>
      <c r="P40" s="1" t="n">
        <v>12.2641506195068</v>
      </c>
      <c r="Q40" s="1" t="n">
        <v>8.3333330154419</v>
      </c>
      <c r="R40" s="1" t="n">
        <v>8.31420691808065</v>
      </c>
    </row>
    <row r="41" customFormat="false" ht="15.75" hidden="false" customHeight="true" outlineLevel="0" collapsed="false">
      <c r="A41" s="1" t="s">
        <v>81</v>
      </c>
      <c r="B41" s="1" t="n">
        <v>70.22</v>
      </c>
      <c r="C41" s="1" t="n">
        <v>73.68</v>
      </c>
      <c r="D41" s="1" t="n">
        <v>68.6</v>
      </c>
      <c r="E41" s="1" t="n">
        <v>69.84</v>
      </c>
      <c r="F41" s="1" t="n">
        <v>66.44</v>
      </c>
      <c r="G41" s="1" t="n">
        <v>76.72</v>
      </c>
      <c r="H41" s="1" t="n">
        <f aca="false">AVERAGE(B41:G41)</f>
        <v>70.9166666666667</v>
      </c>
      <c r="K41" s="1" t="s">
        <v>81</v>
      </c>
      <c r="L41" s="1" t="n">
        <v>80.6603775024414</v>
      </c>
      <c r="M41" s="1" t="n">
        <v>75.9433975219727</v>
      </c>
      <c r="N41" s="1" t="n">
        <v>50.2369651794434</v>
      </c>
      <c r="O41" s="1" t="n">
        <v>71.2264175415039</v>
      </c>
      <c r="P41" s="1" t="n">
        <v>76.8867950439453</v>
      </c>
      <c r="Q41" s="1" t="n">
        <v>79.9019622802734</v>
      </c>
      <c r="R41" s="1" t="n">
        <v>72.47598584493</v>
      </c>
    </row>
    <row r="42" customFormat="false" ht="15.75" hidden="false" customHeight="true" outlineLevel="0" collapsed="false">
      <c r="A42" s="1" t="s">
        <v>61</v>
      </c>
      <c r="B42" s="1" t="n">
        <v>49.47</v>
      </c>
      <c r="C42" s="1" t="n">
        <v>65.11</v>
      </c>
      <c r="D42" s="1" t="n">
        <v>66</v>
      </c>
      <c r="E42" s="1" t="n">
        <v>51.56</v>
      </c>
      <c r="F42" s="1" t="n">
        <v>53.59</v>
      </c>
      <c r="G42" s="1" t="n">
        <v>26.14</v>
      </c>
      <c r="H42" s="1" t="n">
        <f aca="false">AVERAGE(B42:G42)</f>
        <v>51.9783333333333</v>
      </c>
      <c r="K42" s="1" t="s">
        <v>61</v>
      </c>
      <c r="L42" s="1" t="n">
        <v>54.2452812194824</v>
      </c>
      <c r="M42" s="1" t="n">
        <v>73.5849075317383</v>
      </c>
      <c r="N42" s="1" t="n">
        <v>25.1184825897217</v>
      </c>
      <c r="O42" s="1" t="n">
        <v>52.8301887512207</v>
      </c>
      <c r="P42" s="1" t="n">
        <v>38.6792449951172</v>
      </c>
      <c r="Q42" s="1" t="n">
        <v>7.35294103622437</v>
      </c>
      <c r="R42" s="1" t="n">
        <v>41.9685076872508</v>
      </c>
    </row>
    <row r="43" customFormat="false" ht="15.75" hidden="false" customHeight="true" outlineLevel="0" collapsed="false">
      <c r="A43" s="1" t="s">
        <v>82</v>
      </c>
      <c r="B43" s="1" t="n">
        <v>41.82</v>
      </c>
      <c r="C43" s="1" t="n">
        <v>50.43</v>
      </c>
      <c r="D43" s="1" t="n">
        <v>48.91</v>
      </c>
      <c r="E43" s="1" t="n">
        <v>48.28</v>
      </c>
      <c r="F43" s="1" t="n">
        <v>52.1</v>
      </c>
      <c r="G43" s="1" t="n">
        <v>58.5</v>
      </c>
      <c r="H43" s="1" t="n">
        <f aca="false">AVERAGE(B43:G43)</f>
        <v>50.0066666666667</v>
      </c>
      <c r="K43" s="1" t="s">
        <v>82</v>
      </c>
      <c r="L43" s="1" t="n">
        <v>44.8113212585449</v>
      </c>
      <c r="M43" s="1" t="n">
        <v>48.113208770752</v>
      </c>
      <c r="N43" s="1" t="n">
        <v>18.9573459625244</v>
      </c>
      <c r="O43" s="1" t="n">
        <v>35.8490562438965</v>
      </c>
      <c r="P43" s="1" t="n">
        <v>54.2452812194824</v>
      </c>
      <c r="Q43" s="1" t="n">
        <v>55.3921585083008</v>
      </c>
      <c r="R43" s="1" t="n">
        <v>42.8947286605835</v>
      </c>
    </row>
    <row r="44" customFormat="false" ht="15.75" hidden="false" customHeight="true" outlineLevel="0" collapsed="false">
      <c r="A44" s="1" t="s">
        <v>258</v>
      </c>
      <c r="B44" s="1" t="n">
        <v>30.33</v>
      </c>
      <c r="C44" s="1" t="n">
        <v>28.94</v>
      </c>
      <c r="D44" s="1" t="n">
        <v>61.57</v>
      </c>
      <c r="E44" s="1" t="n">
        <v>42.89</v>
      </c>
      <c r="F44" s="1" t="n">
        <v>35.8</v>
      </c>
      <c r="G44" s="1" t="n">
        <v>37.93</v>
      </c>
      <c r="H44" s="1" t="n">
        <f aca="false">AVERAGE(B44:G44)</f>
        <v>39.5766666666667</v>
      </c>
      <c r="K44" s="1" t="s">
        <v>258</v>
      </c>
      <c r="L44" s="1" t="n">
        <v>19.3396224975586</v>
      </c>
      <c r="M44" s="1" t="n">
        <v>6.60377359390259</v>
      </c>
      <c r="N44" s="1" t="n">
        <v>38.8625602722168</v>
      </c>
      <c r="O44" s="1" t="n">
        <v>8.49056625366211</v>
      </c>
      <c r="P44" s="1" t="n">
        <v>10.8490562438965</v>
      </c>
      <c r="Q44" s="1" t="n">
        <v>25.9803924560547</v>
      </c>
      <c r="R44" s="1" t="n">
        <v>18.3543285528819</v>
      </c>
    </row>
    <row r="45" customFormat="false" ht="15.75" hidden="false" customHeight="true" outlineLevel="0" collapsed="false">
      <c r="A45" s="1" t="s">
        <v>259</v>
      </c>
      <c r="B45" s="1" t="n">
        <v>19.32</v>
      </c>
      <c r="C45" s="1" t="n">
        <v>28.37</v>
      </c>
      <c r="D45" s="1" t="n">
        <v>57.05</v>
      </c>
      <c r="E45" s="1" t="n">
        <v>38.09</v>
      </c>
      <c r="F45" s="1" t="n">
        <v>34.89</v>
      </c>
      <c r="G45" s="1" t="n">
        <v>34.3</v>
      </c>
      <c r="H45" s="1" t="n">
        <f aca="false">AVERAGE(B45:G45)</f>
        <v>35.3366666666667</v>
      </c>
      <c r="K45" s="1" t="s">
        <v>260</v>
      </c>
      <c r="L45" s="1" t="n">
        <v>5.18867921829224</v>
      </c>
      <c r="M45" s="1" t="n">
        <v>4.71698093414307</v>
      </c>
      <c r="N45" s="1" t="n">
        <v>5.21327018737793</v>
      </c>
      <c r="O45" s="1" t="n">
        <v>4.71698093414307</v>
      </c>
      <c r="P45" s="1" t="n">
        <v>8.01886749267578</v>
      </c>
      <c r="Q45" s="1" t="n">
        <v>15.6862745285034</v>
      </c>
      <c r="R45" s="1" t="n">
        <v>7.25684221585592</v>
      </c>
    </row>
    <row r="46" customFormat="false" ht="15.75" hidden="false" customHeight="true" outlineLevel="0" collapsed="false">
      <c r="A46" s="1" t="s">
        <v>204</v>
      </c>
      <c r="B46" s="1" t="n">
        <v>50.97</v>
      </c>
      <c r="C46" s="1" t="n">
        <v>56.15</v>
      </c>
      <c r="D46" s="1" t="n">
        <v>90.89</v>
      </c>
      <c r="E46" s="1" t="n">
        <v>79.15</v>
      </c>
      <c r="F46" s="1" t="n">
        <v>54.18</v>
      </c>
      <c r="G46" s="1" t="n">
        <v>74.25</v>
      </c>
      <c r="H46" s="1" t="n">
        <f aca="false">AVERAGE(B46:G46)</f>
        <v>67.5983333333333</v>
      </c>
      <c r="K46" s="1" t="s">
        <v>259</v>
      </c>
      <c r="L46" s="1" t="n">
        <v>8.01886749267578</v>
      </c>
      <c r="M46" s="1" t="n">
        <v>9.43396186828613</v>
      </c>
      <c r="N46" s="1" t="n">
        <v>46.9194297790527</v>
      </c>
      <c r="O46" s="1" t="n">
        <v>17.9245281219482</v>
      </c>
      <c r="P46" s="1" t="n">
        <v>10.3773584365845</v>
      </c>
      <c r="Q46" s="1" t="n">
        <v>17.1568622589111</v>
      </c>
      <c r="R46" s="1" t="n">
        <v>18.3051679929098</v>
      </c>
    </row>
    <row r="47" customFormat="false" ht="15.75" hidden="false" customHeight="true" outlineLevel="0" collapsed="false">
      <c r="A47" s="1" t="s">
        <v>63</v>
      </c>
      <c r="B47" s="1" t="n">
        <v>62.04</v>
      </c>
      <c r="C47" s="1" t="n">
        <v>60.76</v>
      </c>
      <c r="D47" s="1" t="n">
        <v>87.04</v>
      </c>
      <c r="E47" s="1" t="n">
        <v>68.56</v>
      </c>
      <c r="F47" s="1" t="n">
        <v>64.76</v>
      </c>
      <c r="G47" s="1" t="n">
        <v>76.76</v>
      </c>
      <c r="H47" s="1" t="n">
        <f aca="false">AVERAGE(B47:G47)</f>
        <v>69.9866666666667</v>
      </c>
      <c r="K47" s="1" t="s">
        <v>204</v>
      </c>
      <c r="L47" s="1" t="n">
        <v>55.6603775024414</v>
      </c>
      <c r="M47" s="1" t="n">
        <v>44.8113212585449</v>
      </c>
      <c r="N47" s="1" t="n">
        <v>94.7867279052734</v>
      </c>
      <c r="O47" s="1" t="n">
        <v>31.1320762634277</v>
      </c>
      <c r="P47" s="1" t="n">
        <v>49.5283012390137</v>
      </c>
      <c r="Q47" s="1" t="n">
        <v>75.9803924560547</v>
      </c>
      <c r="R47" s="1" t="n">
        <v>58.649866104126</v>
      </c>
    </row>
    <row r="48" customFormat="false" ht="15.75" hidden="false" customHeight="true" outlineLevel="0" collapsed="false">
      <c r="A48" s="1" t="s">
        <v>52</v>
      </c>
      <c r="B48" s="1" t="n">
        <v>50.63</v>
      </c>
      <c r="C48" s="1" t="n">
        <v>68.1</v>
      </c>
      <c r="D48" s="1" t="n">
        <v>77.59</v>
      </c>
      <c r="E48" s="1" t="n">
        <v>65.56</v>
      </c>
      <c r="F48" s="1" t="n">
        <v>62.99</v>
      </c>
      <c r="G48" s="1" t="n">
        <v>71.27</v>
      </c>
      <c r="H48" s="1" t="n">
        <f aca="false">AVERAGE(B48:G48)</f>
        <v>66.0233333333333</v>
      </c>
      <c r="K48" s="1" t="s">
        <v>63</v>
      </c>
      <c r="L48" s="1" t="n">
        <v>72.6415100097656</v>
      </c>
      <c r="M48" s="1" t="n">
        <v>60.8490562438965</v>
      </c>
      <c r="N48" s="1" t="n">
        <v>83.8862533569336</v>
      </c>
      <c r="O48" s="1" t="n">
        <v>60.3773574829102</v>
      </c>
      <c r="P48" s="1" t="n">
        <v>69.8113174438477</v>
      </c>
      <c r="Q48" s="1" t="n">
        <v>81.3725509643555</v>
      </c>
      <c r="R48" s="1" t="n">
        <v>71.4896742502848</v>
      </c>
    </row>
    <row r="49" customFormat="false" ht="15.75" hidden="false" customHeight="true" outlineLevel="0" collapsed="false">
      <c r="A49" s="1" t="s">
        <v>113</v>
      </c>
      <c r="B49" s="1" t="n">
        <v>33.36</v>
      </c>
      <c r="C49" s="1" t="n">
        <v>44.17</v>
      </c>
      <c r="D49" s="1" t="n">
        <v>71.03</v>
      </c>
      <c r="E49" s="1" t="n">
        <v>40.83</v>
      </c>
      <c r="F49" s="1" t="n">
        <v>28.34</v>
      </c>
      <c r="G49" s="1" t="n">
        <v>28.05</v>
      </c>
      <c r="H49" s="1" t="n">
        <f aca="false">AVERAGE(B49:G49)</f>
        <v>40.9633333333333</v>
      </c>
      <c r="K49" s="1" t="s">
        <v>52</v>
      </c>
      <c r="L49" s="1" t="n">
        <v>59.9056587219238</v>
      </c>
      <c r="M49" s="1" t="n">
        <v>75.4716949462891</v>
      </c>
      <c r="N49" s="1" t="n">
        <v>67.7725143432617</v>
      </c>
      <c r="O49" s="1" t="n">
        <v>59.4339637756348</v>
      </c>
      <c r="P49" s="1" t="n">
        <v>72.1698150634766</v>
      </c>
      <c r="Q49" s="1" t="n">
        <v>65.6862716674805</v>
      </c>
      <c r="R49" s="1" t="n">
        <v>66.7399864196777</v>
      </c>
    </row>
    <row r="50" customFormat="false" ht="15.75" hidden="false" customHeight="true" outlineLevel="0" collapsed="false">
      <c r="A50" s="1" t="s">
        <v>45</v>
      </c>
      <c r="B50" s="1" t="n">
        <v>58.84</v>
      </c>
      <c r="C50" s="1" t="n">
        <v>69.39</v>
      </c>
      <c r="D50" s="1" t="n">
        <v>73.33</v>
      </c>
      <c r="E50" s="1" t="n">
        <v>70.8</v>
      </c>
      <c r="F50" s="1" t="n">
        <v>70.17</v>
      </c>
      <c r="G50" s="1" t="n">
        <v>74.23</v>
      </c>
      <c r="H50" s="1" t="n">
        <f aca="false">AVERAGE(B50:G50)</f>
        <v>69.46</v>
      </c>
      <c r="K50" s="1" t="s">
        <v>113</v>
      </c>
      <c r="L50" s="1" t="n">
        <v>52.3584899902344</v>
      </c>
      <c r="M50" s="1" t="n">
        <v>33.4905662536621</v>
      </c>
      <c r="N50" s="1" t="n">
        <v>56.8720397949219</v>
      </c>
      <c r="O50" s="1" t="n">
        <v>36.3207550048828</v>
      </c>
      <c r="P50" s="1" t="n">
        <v>5.18867921829224</v>
      </c>
      <c r="Q50" s="1" t="n">
        <v>14.7058820724487</v>
      </c>
      <c r="R50" s="1" t="n">
        <v>33.156068722407</v>
      </c>
    </row>
    <row r="51" customFormat="false" ht="15.75" hidden="false" customHeight="true" outlineLevel="0" collapsed="false">
      <c r="A51" s="1" t="s">
        <v>47</v>
      </c>
      <c r="B51" s="1" t="n">
        <v>63.81</v>
      </c>
      <c r="C51" s="1" t="n">
        <v>77.75</v>
      </c>
      <c r="D51" s="1" t="n">
        <v>83.49</v>
      </c>
      <c r="E51" s="1" t="n">
        <v>77.91</v>
      </c>
      <c r="F51" s="1" t="n">
        <v>73.97</v>
      </c>
      <c r="G51" s="1" t="n">
        <v>79.33</v>
      </c>
      <c r="H51" s="1" t="n">
        <f aca="false">AVERAGE(B51:G51)</f>
        <v>76.0433333333333</v>
      </c>
      <c r="K51" s="1" t="s">
        <v>45</v>
      </c>
      <c r="L51" s="1" t="n">
        <v>62.7358474731445</v>
      </c>
      <c r="M51" s="1" t="n">
        <v>76.4150924682617</v>
      </c>
      <c r="N51" s="1" t="n">
        <v>59.2417068481445</v>
      </c>
      <c r="O51" s="1" t="n">
        <v>71.698112487793</v>
      </c>
      <c r="P51" s="1" t="n">
        <v>75.9433975219727</v>
      </c>
      <c r="Q51" s="1" t="n">
        <v>77.9411773681641</v>
      </c>
      <c r="R51" s="1" t="n">
        <v>70.6625556945801</v>
      </c>
    </row>
    <row r="52" customFormat="false" ht="15.75" hidden="false" customHeight="true" outlineLevel="0" collapsed="false">
      <c r="A52" s="1" t="s">
        <v>125</v>
      </c>
      <c r="B52" s="1" t="n">
        <v>17.98</v>
      </c>
      <c r="C52" s="1" t="n">
        <v>18.07</v>
      </c>
      <c r="D52" s="1" t="n">
        <v>28.25</v>
      </c>
      <c r="E52" s="1" t="n">
        <v>31.21</v>
      </c>
      <c r="F52" s="1" t="n">
        <v>32.95</v>
      </c>
      <c r="G52" s="1" t="n">
        <v>35.62</v>
      </c>
      <c r="H52" s="1" t="n">
        <f aca="false">AVERAGE(B52:G52)</f>
        <v>27.3466666666667</v>
      </c>
      <c r="K52" s="1" t="s">
        <v>47</v>
      </c>
      <c r="L52" s="1" t="n">
        <v>76.8867950439453</v>
      </c>
      <c r="M52" s="1" t="n">
        <v>82.5471725463867</v>
      </c>
      <c r="N52" s="1" t="n">
        <v>82.4644546508789</v>
      </c>
      <c r="O52" s="1" t="n">
        <v>84.4339599609375</v>
      </c>
      <c r="P52" s="1" t="n">
        <v>87.7358474731445</v>
      </c>
      <c r="Q52" s="1" t="n">
        <v>82.3529434204102</v>
      </c>
      <c r="R52" s="1" t="n">
        <v>82.7368621826172</v>
      </c>
    </row>
    <row r="53" customFormat="false" ht="15.75" hidden="false" customHeight="true" outlineLevel="0" collapsed="false">
      <c r="A53" s="1" t="s">
        <v>18</v>
      </c>
      <c r="B53" s="1" t="n">
        <v>93.62</v>
      </c>
      <c r="C53" s="1" t="n">
        <v>92.44</v>
      </c>
      <c r="D53" s="1" t="n">
        <v>79.47</v>
      </c>
      <c r="E53" s="1" t="n">
        <v>91.75</v>
      </c>
      <c r="F53" s="1" t="n">
        <v>84.69</v>
      </c>
      <c r="G53" s="1" t="n">
        <v>90.47</v>
      </c>
      <c r="H53" s="1" t="n">
        <f aca="false">AVERAGE(B53:G53)</f>
        <v>88.74</v>
      </c>
      <c r="K53" s="1" t="s">
        <v>261</v>
      </c>
      <c r="L53" s="1" t="n">
        <v>44.3396224975586</v>
      </c>
      <c r="M53" s="1" t="n">
        <v>37.2641525268555</v>
      </c>
      <c r="N53" s="1" t="n">
        <v>21.8009471893311</v>
      </c>
      <c r="O53" s="1" t="n">
        <v>35.3773574829102</v>
      </c>
      <c r="P53" s="1" t="n">
        <v>48.5849075317383</v>
      </c>
      <c r="Q53" s="1" t="n">
        <v>36.764705657959</v>
      </c>
      <c r="R53" s="1" t="n">
        <v>37.3552821477254</v>
      </c>
    </row>
    <row r="54" customFormat="false" ht="15.75" hidden="false" customHeight="true" outlineLevel="0" collapsed="false">
      <c r="A54" s="1" t="s">
        <v>262</v>
      </c>
      <c r="B54" s="1" t="n">
        <v>29.26</v>
      </c>
      <c r="C54" s="1" t="n">
        <v>41.53</v>
      </c>
      <c r="D54" s="1" t="n">
        <v>57.07</v>
      </c>
      <c r="E54" s="1" t="n">
        <v>41.79</v>
      </c>
      <c r="F54" s="1" t="n">
        <v>40.5</v>
      </c>
      <c r="G54" s="1" t="n">
        <v>33.39</v>
      </c>
      <c r="H54" s="1" t="n">
        <f aca="false">AVERAGE(B54:G54)</f>
        <v>40.59</v>
      </c>
      <c r="K54" s="1" t="s">
        <v>18</v>
      </c>
      <c r="L54" s="1" t="n">
        <v>100</v>
      </c>
      <c r="M54" s="1" t="n">
        <v>98.5849075317383</v>
      </c>
      <c r="N54" s="1" t="n">
        <v>76.7772521972656</v>
      </c>
      <c r="O54" s="1" t="n">
        <v>99.5283050537109</v>
      </c>
      <c r="P54" s="1" t="n">
        <v>98.1132049560547</v>
      </c>
      <c r="Q54" s="1" t="n">
        <v>98.529411315918</v>
      </c>
      <c r="R54" s="1" t="n">
        <v>95.2555135091146</v>
      </c>
    </row>
    <row r="55" customFormat="false" ht="15.75" hidden="false" customHeight="true" outlineLevel="0" collapsed="false">
      <c r="A55" s="1" t="s">
        <v>233</v>
      </c>
      <c r="B55" s="1" t="n">
        <v>58.85</v>
      </c>
      <c r="C55" s="1" t="n">
        <v>55.62</v>
      </c>
      <c r="D55" s="1" t="n">
        <v>82.83</v>
      </c>
      <c r="E55" s="1" t="n">
        <v>65.63</v>
      </c>
      <c r="F55" s="1" t="n">
        <v>56.66</v>
      </c>
      <c r="G55" s="1" t="n">
        <v>66.9</v>
      </c>
      <c r="H55" s="1" t="n">
        <f aca="false">AVERAGE(B55:G55)</f>
        <v>64.415</v>
      </c>
      <c r="K55" s="1" t="s">
        <v>262</v>
      </c>
      <c r="L55" s="1" t="n">
        <v>23.5849056243897</v>
      </c>
      <c r="M55" s="1" t="n">
        <v>25.4716987609863</v>
      </c>
      <c r="N55" s="1" t="n">
        <v>24.6445503234863</v>
      </c>
      <c r="O55" s="1" t="n">
        <v>13.6792449951172</v>
      </c>
      <c r="P55" s="1" t="n">
        <v>17.4528293609619</v>
      </c>
      <c r="Q55" s="1" t="n">
        <v>13.7254905700684</v>
      </c>
      <c r="R55" s="1" t="n">
        <v>19.759786605835</v>
      </c>
    </row>
    <row r="56" customFormat="false" ht="15.75" hidden="false" customHeight="true" outlineLevel="0" collapsed="false">
      <c r="A56" s="1" t="s">
        <v>87</v>
      </c>
      <c r="B56" s="1" t="n">
        <v>48.23</v>
      </c>
      <c r="C56" s="1" t="n">
        <v>53.22</v>
      </c>
      <c r="D56" s="1" t="n">
        <v>76.25</v>
      </c>
      <c r="E56" s="1" t="n">
        <v>56.6</v>
      </c>
      <c r="F56" s="1" t="n">
        <v>58.66</v>
      </c>
      <c r="G56" s="1" t="n">
        <v>64.01</v>
      </c>
      <c r="H56" s="1" t="n">
        <f aca="false">AVERAGE(B56:G56)</f>
        <v>59.495</v>
      </c>
      <c r="K56" s="1" t="s">
        <v>233</v>
      </c>
      <c r="L56" s="1" t="n">
        <v>67.4528274536133</v>
      </c>
      <c r="M56" s="1" t="n">
        <v>61.3207550048828</v>
      </c>
      <c r="N56" s="1" t="n">
        <v>95.7345962524414</v>
      </c>
      <c r="O56" s="1" t="n">
        <v>70.7547149658203</v>
      </c>
      <c r="P56" s="1" t="n">
        <v>61.3207550048828</v>
      </c>
      <c r="Q56" s="1" t="n">
        <v>72.5490188598633</v>
      </c>
      <c r="R56" s="1" t="n">
        <v>71.5221112569173</v>
      </c>
    </row>
    <row r="57" customFormat="false" ht="15.75" hidden="false" customHeight="true" outlineLevel="0" collapsed="false">
      <c r="A57" s="1" t="s">
        <v>88</v>
      </c>
      <c r="B57" s="1" t="n">
        <v>33.19</v>
      </c>
      <c r="C57" s="1" t="n">
        <v>51.71</v>
      </c>
      <c r="D57" s="1" t="n">
        <v>54.36</v>
      </c>
      <c r="E57" s="1" t="n">
        <v>41.6</v>
      </c>
      <c r="F57" s="1" t="n">
        <v>43.21</v>
      </c>
      <c r="G57" s="1" t="n">
        <v>56.25</v>
      </c>
      <c r="H57" s="1" t="n">
        <f aca="false">AVERAGE(B57:G57)</f>
        <v>46.72</v>
      </c>
      <c r="K57" s="1" t="s">
        <v>87</v>
      </c>
      <c r="L57" s="1" t="n">
        <v>37.7358474731445</v>
      </c>
      <c r="M57" s="1" t="n">
        <v>56.6037750244141</v>
      </c>
      <c r="N57" s="1" t="n">
        <v>53.554500579834</v>
      </c>
      <c r="O57" s="1" t="n">
        <v>48.113208770752</v>
      </c>
      <c r="P57" s="1" t="n">
        <v>58.0188674926758</v>
      </c>
      <c r="Q57" s="1" t="n">
        <v>57.3529396057129</v>
      </c>
      <c r="R57" s="1" t="n">
        <v>51.8965231577555</v>
      </c>
    </row>
    <row r="58" customFormat="false" ht="15.75" hidden="false" customHeight="true" outlineLevel="0" collapsed="false">
      <c r="A58" s="1" t="s">
        <v>112</v>
      </c>
      <c r="B58" s="1" t="n">
        <v>33.91</v>
      </c>
      <c r="C58" s="1" t="n">
        <v>50.18</v>
      </c>
      <c r="D58" s="1" t="n">
        <v>50.05</v>
      </c>
      <c r="E58" s="1" t="n">
        <v>47.29</v>
      </c>
      <c r="F58" s="1" t="n">
        <v>47.59</v>
      </c>
      <c r="G58" s="1" t="n">
        <v>27.72</v>
      </c>
      <c r="H58" s="1" t="n">
        <f aca="false">AVERAGE(B58:G58)</f>
        <v>42.79</v>
      </c>
      <c r="K58" s="1" t="s">
        <v>88</v>
      </c>
      <c r="L58" s="1" t="n">
        <v>27.8301887512207</v>
      </c>
      <c r="M58" s="1" t="n">
        <v>32.5471687316895</v>
      </c>
      <c r="N58" s="1" t="n">
        <v>32.7014236450195</v>
      </c>
      <c r="O58" s="1" t="n">
        <v>19.3396224975586</v>
      </c>
      <c r="P58" s="1" t="n">
        <v>23.5849056243897</v>
      </c>
      <c r="Q58" s="1" t="n">
        <v>44.1176452636719</v>
      </c>
      <c r="R58" s="1" t="n">
        <v>30.0201590855916</v>
      </c>
    </row>
    <row r="59" customFormat="false" ht="15.75" hidden="false" customHeight="true" outlineLevel="0" collapsed="false">
      <c r="A59" s="1" t="s">
        <v>138</v>
      </c>
      <c r="B59" s="1" t="n">
        <v>37</v>
      </c>
      <c r="C59" s="1" t="n">
        <v>47.52</v>
      </c>
      <c r="D59" s="1" t="n">
        <v>67.56</v>
      </c>
      <c r="E59" s="1" t="n">
        <v>47</v>
      </c>
      <c r="F59" s="1" t="n">
        <v>53.06</v>
      </c>
      <c r="G59" s="1" t="n">
        <v>44</v>
      </c>
      <c r="H59" s="1" t="n">
        <f aca="false">AVERAGE(B59:G59)</f>
        <v>49.3566666666667</v>
      </c>
      <c r="K59" s="1" t="s">
        <v>112</v>
      </c>
      <c r="L59" s="1" t="n">
        <v>24.5283012390137</v>
      </c>
      <c r="M59" s="1" t="n">
        <v>41.9811325073242</v>
      </c>
      <c r="N59" s="1" t="n">
        <v>16.5876770019531</v>
      </c>
      <c r="O59" s="1" t="n">
        <v>44.3396224975586</v>
      </c>
      <c r="P59" s="1" t="n">
        <v>26.8867931365967</v>
      </c>
      <c r="Q59" s="1" t="n">
        <v>10.7843141555786</v>
      </c>
      <c r="R59" s="1" t="n">
        <v>27.5179734230042</v>
      </c>
    </row>
    <row r="60" customFormat="false" ht="15.75" hidden="false" customHeight="true" outlineLevel="0" collapsed="false">
      <c r="A60" s="1" t="s">
        <v>263</v>
      </c>
      <c r="B60" s="1" t="n">
        <v>18.17</v>
      </c>
      <c r="C60" s="1" t="n">
        <v>27.28</v>
      </c>
      <c r="D60" s="1" t="n">
        <v>62.94</v>
      </c>
      <c r="E60" s="1" t="n">
        <v>33.24</v>
      </c>
      <c r="F60" s="1" t="n">
        <v>30.82</v>
      </c>
      <c r="G60" s="1" t="n">
        <v>24.82</v>
      </c>
      <c r="H60" s="1" t="n">
        <f aca="false">AVERAGE(B60:G60)</f>
        <v>32.8783333333333</v>
      </c>
      <c r="K60" s="1" t="s">
        <v>138</v>
      </c>
      <c r="L60" s="1" t="n">
        <v>32.0754699707031</v>
      </c>
      <c r="M60" s="1" t="n">
        <v>53.7735862731934</v>
      </c>
      <c r="N60" s="1" t="n">
        <v>46.445499420166</v>
      </c>
      <c r="O60" s="1" t="n">
        <v>39.1509437561035</v>
      </c>
      <c r="P60" s="1" t="n">
        <v>39.6226425170898</v>
      </c>
      <c r="Q60" s="1" t="n">
        <v>34.8039207458496</v>
      </c>
      <c r="R60" s="1" t="n">
        <v>40.9786771138509</v>
      </c>
    </row>
    <row r="61" customFormat="false" ht="15.75" hidden="false" customHeight="true" outlineLevel="0" collapsed="false">
      <c r="A61" s="1" t="s">
        <v>228</v>
      </c>
      <c r="B61" s="1" t="n">
        <v>15.57</v>
      </c>
      <c r="C61" s="1" t="n">
        <v>21.12</v>
      </c>
      <c r="D61" s="1" t="n">
        <v>55.1</v>
      </c>
      <c r="E61" s="1" t="n">
        <v>29.48</v>
      </c>
      <c r="F61" s="1" t="n">
        <v>19.24</v>
      </c>
      <c r="G61" s="1" t="n">
        <v>14.64</v>
      </c>
      <c r="H61" s="1" t="n">
        <f aca="false">AVERAGE(B61:G61)</f>
        <v>25.8583333333333</v>
      </c>
      <c r="K61" s="1" t="s">
        <v>263</v>
      </c>
      <c r="L61" s="1" t="n">
        <v>2.8301887512207</v>
      </c>
      <c r="M61" s="1" t="n">
        <v>9.90566062927246</v>
      </c>
      <c r="N61" s="1" t="n">
        <v>38.3886260986328</v>
      </c>
      <c r="O61" s="1" t="n">
        <v>8.96226406097412</v>
      </c>
      <c r="P61" s="1" t="n">
        <v>5.66037750244141</v>
      </c>
      <c r="Q61" s="1" t="n">
        <v>3.43137264251709</v>
      </c>
      <c r="R61" s="1" t="n">
        <v>11.5297482808431</v>
      </c>
    </row>
    <row r="62" customFormat="false" ht="15.75" hidden="false" customHeight="true" outlineLevel="0" collapsed="false">
      <c r="A62" s="1" t="s">
        <v>42</v>
      </c>
      <c r="B62" s="1" t="n">
        <v>81.06</v>
      </c>
      <c r="C62" s="1" t="n">
        <v>83.04</v>
      </c>
      <c r="D62" s="1" t="n">
        <v>81.16</v>
      </c>
      <c r="E62" s="1" t="n">
        <v>82.25</v>
      </c>
      <c r="F62" s="1" t="n">
        <v>79.09</v>
      </c>
      <c r="G62" s="1" t="n">
        <v>82.38</v>
      </c>
      <c r="H62" s="1" t="n">
        <f aca="false">AVERAGE(B62:G62)</f>
        <v>81.4966666666667</v>
      </c>
      <c r="K62" s="1" t="s">
        <v>228</v>
      </c>
      <c r="L62" s="1" t="n">
        <v>5.66037750244141</v>
      </c>
      <c r="M62" s="1" t="n">
        <v>2.8301887512207</v>
      </c>
      <c r="N62" s="1" t="n">
        <v>17.5355453491211</v>
      </c>
      <c r="O62" s="1" t="n">
        <v>2.8301887512207</v>
      </c>
      <c r="P62" s="1" t="n">
        <v>0.471698105335236</v>
      </c>
      <c r="Q62" s="1" t="n">
        <v>0.980392158031464</v>
      </c>
      <c r="R62" s="1" t="n">
        <v>5.05139843622844</v>
      </c>
    </row>
    <row r="63" customFormat="false" ht="15.75" hidden="false" customHeight="true" outlineLevel="0" collapsed="false">
      <c r="A63" s="1" t="s">
        <v>224</v>
      </c>
      <c r="B63" s="1" t="n">
        <v>31.91</v>
      </c>
      <c r="C63" s="1" t="n">
        <v>35.16</v>
      </c>
      <c r="D63" s="1" t="n">
        <v>55.61</v>
      </c>
      <c r="E63" s="1" t="n">
        <v>45.79</v>
      </c>
      <c r="F63" s="1" t="n">
        <v>43.86</v>
      </c>
      <c r="G63" s="1" t="n">
        <v>31.04</v>
      </c>
      <c r="H63" s="1" t="n">
        <f aca="false">AVERAGE(B63:G63)</f>
        <v>40.5616666666667</v>
      </c>
      <c r="K63" s="1" t="s">
        <v>42</v>
      </c>
      <c r="L63" s="1" t="n">
        <v>91.5094375610352</v>
      </c>
      <c r="M63" s="1" t="n">
        <v>88.6792449951172</v>
      </c>
      <c r="N63" s="1" t="n">
        <v>69.1943130493164</v>
      </c>
      <c r="O63" s="1" t="n">
        <v>89.6226425170898</v>
      </c>
      <c r="P63" s="1" t="n">
        <v>91.0377349853516</v>
      </c>
      <c r="Q63" s="1" t="n">
        <v>88.7254867553711</v>
      </c>
      <c r="R63" s="1" t="n">
        <v>86.4614766438802</v>
      </c>
    </row>
    <row r="64" customFormat="false" ht="15.75" hidden="false" customHeight="true" outlineLevel="0" collapsed="false">
      <c r="A64" s="1" t="s">
        <v>139</v>
      </c>
      <c r="B64" s="1" t="n">
        <v>40.49</v>
      </c>
      <c r="C64" s="1" t="n">
        <v>39.74</v>
      </c>
      <c r="D64" s="1" t="n">
        <v>33.12</v>
      </c>
      <c r="E64" s="1" t="n">
        <v>43.18</v>
      </c>
      <c r="F64" s="1" t="n">
        <v>42.93</v>
      </c>
      <c r="G64" s="1" t="n">
        <v>34.31</v>
      </c>
      <c r="H64" s="1" t="n">
        <f aca="false">AVERAGE(B64:G64)</f>
        <v>38.9616666666667</v>
      </c>
      <c r="K64" s="1" t="s">
        <v>224</v>
      </c>
      <c r="L64" s="1" t="n">
        <v>25</v>
      </c>
      <c r="M64" s="1" t="n">
        <v>19.3396224975586</v>
      </c>
      <c r="N64" s="1" t="n">
        <v>30.8056869506836</v>
      </c>
      <c r="O64" s="1" t="n">
        <v>28.301887512207</v>
      </c>
      <c r="P64" s="1" t="n">
        <v>24.056604385376</v>
      </c>
      <c r="Q64" s="1" t="n">
        <v>16.6666660308838</v>
      </c>
      <c r="R64" s="1" t="n">
        <v>24.0284112294515</v>
      </c>
    </row>
    <row r="65" customFormat="false" ht="15.75" hidden="false" customHeight="true" outlineLevel="0" collapsed="false">
      <c r="A65" s="1" t="s">
        <v>141</v>
      </c>
      <c r="B65" s="1" t="n">
        <v>58.83</v>
      </c>
      <c r="C65" s="1" t="n">
        <v>63.17</v>
      </c>
      <c r="D65" s="1" t="n">
        <v>82.82</v>
      </c>
      <c r="E65" s="1" t="n">
        <v>65.54</v>
      </c>
      <c r="F65" s="1" t="n">
        <v>56.05</v>
      </c>
      <c r="G65" s="1" t="n">
        <v>61.68</v>
      </c>
      <c r="H65" s="1" t="n">
        <f aca="false">AVERAGE(B65:G65)</f>
        <v>64.6816666666667</v>
      </c>
      <c r="K65" s="1" t="s">
        <v>139</v>
      </c>
      <c r="L65" s="1" t="n">
        <v>37.2641525268555</v>
      </c>
      <c r="M65" s="1" t="n">
        <v>24.056604385376</v>
      </c>
      <c r="N65" s="1" t="n">
        <v>6.16113758087158</v>
      </c>
      <c r="O65" s="1" t="n">
        <v>26.8867931365967</v>
      </c>
      <c r="P65" s="1" t="n">
        <v>14.1509437561035</v>
      </c>
      <c r="Q65" s="1" t="n">
        <v>20.0980396270752</v>
      </c>
      <c r="R65" s="1" t="n">
        <v>21.4362785021464</v>
      </c>
    </row>
    <row r="66" customFormat="false" ht="15.75" hidden="false" customHeight="true" outlineLevel="0" collapsed="false">
      <c r="A66" s="1" t="s">
        <v>32</v>
      </c>
      <c r="B66" s="1" t="n">
        <v>91.17</v>
      </c>
      <c r="C66" s="1" t="n">
        <v>92.08</v>
      </c>
      <c r="D66" s="1" t="n">
        <v>82.34</v>
      </c>
      <c r="E66" s="1" t="n">
        <v>91.78</v>
      </c>
      <c r="F66" s="1" t="n">
        <v>83.62</v>
      </c>
      <c r="G66" s="1" t="n">
        <v>88.79</v>
      </c>
      <c r="H66" s="1" t="n">
        <f aca="false">AVERAGE(B66:G66)</f>
        <v>88.2966666666667</v>
      </c>
      <c r="K66" s="1" t="s">
        <v>141</v>
      </c>
      <c r="L66" s="1" t="n">
        <v>66.0377349853516</v>
      </c>
      <c r="M66" s="1" t="n">
        <v>68.3962249755859</v>
      </c>
      <c r="N66" s="1" t="n">
        <v>72.9857788085938</v>
      </c>
      <c r="O66" s="1" t="n">
        <v>58.4905662536621</v>
      </c>
      <c r="P66" s="1" t="n">
        <v>50</v>
      </c>
      <c r="Q66" s="1" t="n">
        <v>54.4117660522461</v>
      </c>
      <c r="R66" s="1" t="n">
        <v>61.7203451792399</v>
      </c>
    </row>
    <row r="67" customFormat="false" ht="15.75" hidden="false" customHeight="true" outlineLevel="0" collapsed="false">
      <c r="A67" s="1" t="s">
        <v>34</v>
      </c>
      <c r="B67" s="1" t="n">
        <v>73.09</v>
      </c>
      <c r="C67" s="1" t="n">
        <v>77.14</v>
      </c>
      <c r="D67" s="1" t="n">
        <v>63.99</v>
      </c>
      <c r="E67" s="1" t="n">
        <v>74.61</v>
      </c>
      <c r="F67" s="1" t="n">
        <v>72.52</v>
      </c>
      <c r="G67" s="1" t="n">
        <v>78.99</v>
      </c>
      <c r="H67" s="1" t="n">
        <f aca="false">AVERAGE(B67:G67)</f>
        <v>73.39</v>
      </c>
      <c r="K67" s="1" t="s">
        <v>32</v>
      </c>
      <c r="L67" s="1" t="n">
        <v>99.5283050537109</v>
      </c>
      <c r="M67" s="1" t="n">
        <v>97.1698150634766</v>
      </c>
      <c r="N67" s="1" t="n">
        <v>71.0900497436523</v>
      </c>
      <c r="O67" s="1" t="n">
        <v>100</v>
      </c>
      <c r="P67" s="1" t="n">
        <v>96.698112487793</v>
      </c>
      <c r="Q67" s="1" t="n">
        <v>97.5490188598633</v>
      </c>
      <c r="R67" s="1" t="n">
        <v>93.672550201416</v>
      </c>
    </row>
    <row r="68" customFormat="false" ht="15.75" hidden="false" customHeight="true" outlineLevel="0" collapsed="false">
      <c r="A68" s="1" t="s">
        <v>225</v>
      </c>
      <c r="B68" s="1" t="n">
        <v>72.14</v>
      </c>
      <c r="C68" s="1" t="n">
        <v>80.32</v>
      </c>
      <c r="D68" s="1" t="n">
        <v>75.05</v>
      </c>
      <c r="E68" s="1" t="n">
        <v>74.18</v>
      </c>
      <c r="F68" s="1" t="n">
        <v>74.28</v>
      </c>
      <c r="G68" s="1" t="n">
        <v>78.16</v>
      </c>
      <c r="H68" s="1" t="n">
        <f aca="false">AVERAGE(B68:G68)</f>
        <v>75.6883333333333</v>
      </c>
      <c r="K68" s="1" t="s">
        <v>34</v>
      </c>
      <c r="L68" s="1" t="n">
        <v>83.9622650146484</v>
      </c>
      <c r="M68" s="1" t="n">
        <v>83.0188674926758</v>
      </c>
      <c r="N68" s="1" t="n">
        <v>55.9241714477539</v>
      </c>
      <c r="O68" s="1" t="n">
        <v>84.9056625366211</v>
      </c>
      <c r="P68" s="1" t="n">
        <v>85.3773574829102</v>
      </c>
      <c r="Q68" s="1" t="n">
        <v>86.7647094726563</v>
      </c>
      <c r="R68" s="1" t="n">
        <v>79.9921722412109</v>
      </c>
    </row>
    <row r="69" customFormat="false" ht="15.75" hidden="false" customHeight="true" outlineLevel="0" collapsed="false">
      <c r="A69" s="1" t="s">
        <v>183</v>
      </c>
      <c r="B69" s="1" t="n">
        <v>44.06</v>
      </c>
      <c r="D69" s="1" t="n">
        <v>75.7</v>
      </c>
      <c r="E69" s="1" t="n">
        <v>69.33</v>
      </c>
      <c r="G69" s="1" t="n">
        <v>73.82</v>
      </c>
      <c r="H69" s="1" t="n">
        <f aca="false">AVERAGE(B69:G69)</f>
        <v>65.7275</v>
      </c>
      <c r="K69" s="1" t="s">
        <v>225</v>
      </c>
      <c r="L69" s="1" t="n">
        <v>80.1886825561523</v>
      </c>
      <c r="M69" s="1" t="n">
        <v>89.1509399414063</v>
      </c>
      <c r="N69" s="1" t="n">
        <v>53.0805702209473</v>
      </c>
      <c r="O69" s="1" t="n">
        <v>83.9622650146484</v>
      </c>
      <c r="P69" s="1" t="n">
        <v>83.4905624389648</v>
      </c>
      <c r="Q69" s="1" t="n">
        <v>91.6666641235352</v>
      </c>
      <c r="R69" s="1" t="n">
        <v>80.2566140492757</v>
      </c>
    </row>
    <row r="70" customFormat="false" ht="15.75" hidden="false" customHeight="true" outlineLevel="0" collapsed="false">
      <c r="A70" s="1" t="s">
        <v>264</v>
      </c>
      <c r="B70" s="1" t="n">
        <v>32.4</v>
      </c>
      <c r="C70" s="1" t="n">
        <v>41.06</v>
      </c>
      <c r="D70" s="1" t="n">
        <v>67.65</v>
      </c>
      <c r="E70" s="1" t="n">
        <v>41.77</v>
      </c>
      <c r="F70" s="1" t="n">
        <v>42.93</v>
      </c>
      <c r="G70" s="1" t="n">
        <v>42.56</v>
      </c>
      <c r="H70" s="1" t="n">
        <f aca="false">AVERAGE(B70:G70)</f>
        <v>44.7283333333333</v>
      </c>
      <c r="K70" s="1" t="s">
        <v>264</v>
      </c>
      <c r="L70" s="1" t="n">
        <v>17.9245281219482</v>
      </c>
      <c r="M70" s="1" t="n">
        <v>23.1132068634033</v>
      </c>
      <c r="N70" s="1" t="n">
        <v>33.6492881774902</v>
      </c>
      <c r="O70" s="1" t="n">
        <v>20.754716873169</v>
      </c>
      <c r="P70" s="1" t="n">
        <v>25</v>
      </c>
      <c r="Q70" s="1" t="n">
        <v>24.0196075439453</v>
      </c>
      <c r="R70" s="1" t="n">
        <v>24.076891263326</v>
      </c>
    </row>
    <row r="71" customFormat="false" ht="15.75" hidden="false" customHeight="true" outlineLevel="0" collapsed="false">
      <c r="A71" s="1" t="s">
        <v>265</v>
      </c>
      <c r="B71" s="1" t="n">
        <v>37.74</v>
      </c>
      <c r="C71" s="1" t="n">
        <v>43.5</v>
      </c>
      <c r="D71" s="1" t="n">
        <v>66.23</v>
      </c>
      <c r="E71" s="1" t="n">
        <v>52.12</v>
      </c>
      <c r="F71" s="1" t="n">
        <v>44.4</v>
      </c>
      <c r="G71" s="1" t="n">
        <v>53.9</v>
      </c>
      <c r="H71" s="1" t="n">
        <f aca="false">AVERAGE(B71:G71)</f>
        <v>49.6483333333333</v>
      </c>
      <c r="K71" s="1" t="s">
        <v>265</v>
      </c>
      <c r="L71" s="1" t="n">
        <v>46.2264137268066</v>
      </c>
      <c r="M71" s="1" t="n">
        <v>29.7169818878174</v>
      </c>
      <c r="N71" s="1" t="n">
        <v>45.971565246582</v>
      </c>
      <c r="O71" s="1" t="n">
        <v>38.2075462341309</v>
      </c>
      <c r="P71" s="1" t="n">
        <v>28.301887512207</v>
      </c>
      <c r="Q71" s="1" t="n">
        <v>45.5882339477539</v>
      </c>
      <c r="R71" s="1" t="n">
        <v>39.0021047592163</v>
      </c>
    </row>
    <row r="72" customFormat="false" ht="15.75" hidden="false" customHeight="true" outlineLevel="0" collapsed="false">
      <c r="A72" s="1" t="s">
        <v>84</v>
      </c>
      <c r="B72" s="1" t="n">
        <v>45.22</v>
      </c>
      <c r="C72" s="1" t="n">
        <v>59.53</v>
      </c>
      <c r="D72" s="1" t="n">
        <v>56.93</v>
      </c>
      <c r="E72" s="1" t="n">
        <v>60.2</v>
      </c>
      <c r="F72" s="1" t="n">
        <v>66.23</v>
      </c>
      <c r="G72" s="1" t="n">
        <v>51.14</v>
      </c>
      <c r="H72" s="1" t="n">
        <f aca="false">AVERAGE(B72:G72)</f>
        <v>56.5416666666667</v>
      </c>
      <c r="K72" s="1" t="s">
        <v>84</v>
      </c>
      <c r="L72" s="1" t="n">
        <v>71.2264175415039</v>
      </c>
      <c r="M72" s="1" t="n">
        <v>77.8301849365234</v>
      </c>
      <c r="N72" s="1" t="n">
        <v>33.1753540039063</v>
      </c>
      <c r="O72" s="1" t="n">
        <v>55.1886787414551</v>
      </c>
      <c r="P72" s="1" t="n">
        <v>79.7169799804688</v>
      </c>
      <c r="Q72" s="1" t="n">
        <v>48.0392150878906</v>
      </c>
      <c r="R72" s="1" t="n">
        <v>60.8628050486247</v>
      </c>
    </row>
    <row r="73" customFormat="false" ht="15.75" hidden="false" customHeight="true" outlineLevel="0" collapsed="false">
      <c r="A73" s="1" t="s">
        <v>25</v>
      </c>
      <c r="B73" s="1" t="n">
        <v>81.85</v>
      </c>
      <c r="C73" s="1" t="n">
        <v>82.84</v>
      </c>
      <c r="D73" s="1" t="n">
        <v>69.26</v>
      </c>
      <c r="E73" s="1" t="n">
        <v>85.07</v>
      </c>
      <c r="F73" s="1" t="n">
        <v>76.43</v>
      </c>
      <c r="G73" s="1" t="n">
        <v>86.03</v>
      </c>
      <c r="H73" s="1" t="n">
        <f aca="false">AVERAGE(B73:G73)</f>
        <v>80.2466666666667</v>
      </c>
      <c r="K73" s="1" t="s">
        <v>25</v>
      </c>
      <c r="L73" s="1" t="n">
        <v>94.3396224975586</v>
      </c>
      <c r="M73" s="1" t="n">
        <v>85.3773574829102</v>
      </c>
      <c r="N73" s="1" t="n">
        <v>66.3507080078125</v>
      </c>
      <c r="O73" s="1" t="n">
        <v>92.9245300292969</v>
      </c>
      <c r="P73" s="1" t="n">
        <v>91.9811325073242</v>
      </c>
      <c r="Q73" s="1" t="n">
        <v>94.6078414916992</v>
      </c>
      <c r="R73" s="1" t="n">
        <v>87.5968653361003</v>
      </c>
    </row>
    <row r="74" customFormat="false" ht="15.75" hidden="false" customHeight="true" outlineLevel="0" collapsed="false">
      <c r="A74" s="1" t="s">
        <v>148</v>
      </c>
      <c r="B74" s="1" t="n">
        <v>45.79</v>
      </c>
      <c r="C74" s="1" t="n">
        <v>55.1</v>
      </c>
      <c r="D74" s="1" t="n">
        <v>67.15</v>
      </c>
      <c r="E74" s="1" t="n">
        <v>58.61</v>
      </c>
      <c r="F74" s="1" t="n">
        <v>52.32</v>
      </c>
      <c r="G74" s="1" t="n">
        <v>64.33</v>
      </c>
      <c r="H74" s="1" t="n">
        <f aca="false">AVERAGE(B74:G74)</f>
        <v>57.2166666666667</v>
      </c>
      <c r="K74" s="1" t="s">
        <v>148</v>
      </c>
      <c r="L74" s="1" t="n">
        <v>51.4150924682617</v>
      </c>
      <c r="M74" s="1" t="n">
        <v>47.1698112487793</v>
      </c>
      <c r="N74" s="1" t="n">
        <v>45.4976310729981</v>
      </c>
      <c r="O74" s="1" t="n">
        <v>49.5283012390137</v>
      </c>
      <c r="P74" s="1" t="n">
        <v>45.2830200195313</v>
      </c>
      <c r="Q74" s="1" t="n">
        <v>60.7843132019043</v>
      </c>
      <c r="R74" s="1" t="n">
        <v>49.9463615417481</v>
      </c>
    </row>
    <row r="75" customFormat="false" ht="15.75" hidden="false" customHeight="true" outlineLevel="0" collapsed="false">
      <c r="A75" s="1" t="s">
        <v>59</v>
      </c>
      <c r="B75" s="1" t="n">
        <v>53.1</v>
      </c>
      <c r="C75" s="1" t="n">
        <v>58.93</v>
      </c>
      <c r="D75" s="1" t="n">
        <v>70.46</v>
      </c>
      <c r="E75" s="1" t="n">
        <v>63.33</v>
      </c>
      <c r="F75" s="1" t="n">
        <v>62.66</v>
      </c>
      <c r="G75" s="1" t="n">
        <v>73.55</v>
      </c>
      <c r="H75" s="1" t="n">
        <f aca="false">AVERAGE(B75:G75)</f>
        <v>63.6716666666667</v>
      </c>
      <c r="K75" s="1" t="s">
        <v>59</v>
      </c>
      <c r="L75" s="1" t="n">
        <v>58.0188674926758</v>
      </c>
      <c r="M75" s="1" t="n">
        <v>57.5471687316895</v>
      </c>
      <c r="N75" s="1" t="n">
        <v>54.028434753418</v>
      </c>
      <c r="O75" s="1" t="n">
        <v>57.0754699707031</v>
      </c>
      <c r="P75" s="1" t="n">
        <v>70.7547149658203</v>
      </c>
      <c r="Q75" s="1" t="n">
        <v>79.4117660522461</v>
      </c>
      <c r="R75" s="1" t="n">
        <v>62.8060703277588</v>
      </c>
    </row>
    <row r="76" customFormat="false" ht="15.75" hidden="false" customHeight="true" outlineLevel="0" collapsed="false">
      <c r="A76" s="1" t="s">
        <v>213</v>
      </c>
      <c r="B76" s="1" t="n">
        <v>77.9</v>
      </c>
      <c r="C76" s="1" t="n">
        <v>79.32</v>
      </c>
      <c r="D76" s="1" t="n">
        <v>79.45</v>
      </c>
      <c r="E76" s="1" t="n">
        <v>84.78</v>
      </c>
      <c r="F76" s="1" t="n">
        <v>73.92</v>
      </c>
      <c r="G76" s="1" t="n">
        <v>83.79</v>
      </c>
      <c r="H76" s="1" t="n">
        <f aca="false">AVERAGE(B76:G76)</f>
        <v>79.86</v>
      </c>
      <c r="K76" s="1" t="s">
        <v>213</v>
      </c>
      <c r="L76" s="1" t="n">
        <v>82.0754699707031</v>
      </c>
      <c r="M76" s="1" t="n">
        <v>77.3584899902344</v>
      </c>
      <c r="N76" s="1" t="n">
        <v>98.1042633056641</v>
      </c>
      <c r="O76" s="1" t="n">
        <v>95.2830200195313</v>
      </c>
      <c r="P76" s="1" t="n">
        <v>86.7924499511719</v>
      </c>
      <c r="Q76" s="1" t="n">
        <v>91.6666641235352</v>
      </c>
      <c r="R76" s="1" t="n">
        <v>88.5467262268066</v>
      </c>
    </row>
    <row r="77" customFormat="false" ht="15.75" hidden="false" customHeight="true" outlineLevel="0" collapsed="false">
      <c r="A77" s="1" t="s">
        <v>226</v>
      </c>
      <c r="B77" s="1" t="n">
        <v>58.22</v>
      </c>
      <c r="C77" s="1" t="n">
        <v>52.45</v>
      </c>
      <c r="D77" s="1" t="n">
        <v>87.31</v>
      </c>
      <c r="E77" s="1" t="n">
        <v>68.21</v>
      </c>
      <c r="F77" s="1" t="n">
        <v>55.04</v>
      </c>
      <c r="G77" s="1" t="n">
        <v>66.59</v>
      </c>
      <c r="H77" s="1" t="n">
        <f aca="false">AVERAGE(B77:G77)</f>
        <v>64.6366666666667</v>
      </c>
      <c r="K77" s="1" t="s">
        <v>226</v>
      </c>
      <c r="L77" s="1" t="n">
        <v>68.3962249755859</v>
      </c>
      <c r="M77" s="1" t="n">
        <v>50.9433975219727</v>
      </c>
      <c r="N77" s="1" t="n">
        <v>86.2559204101563</v>
      </c>
      <c r="O77" s="1" t="n">
        <v>69.3396224975586</v>
      </c>
      <c r="P77" s="1" t="n">
        <v>61.7924537658691</v>
      </c>
      <c r="Q77" s="1" t="n">
        <v>71.0784301757813</v>
      </c>
      <c r="R77" s="1" t="n">
        <v>67.967674891154</v>
      </c>
    </row>
    <row r="78" customFormat="false" ht="15.75" hidden="false" customHeight="true" outlineLevel="0" collapsed="false">
      <c r="A78" s="1" t="s">
        <v>208</v>
      </c>
      <c r="B78" s="1" t="n">
        <v>71.84</v>
      </c>
      <c r="C78" s="1" t="n">
        <v>77.18</v>
      </c>
      <c r="D78" s="1" t="n">
        <v>86.48</v>
      </c>
      <c r="E78" s="1" t="n">
        <v>74.72</v>
      </c>
      <c r="F78" s="1" t="n">
        <v>61.94</v>
      </c>
      <c r="H78" s="1" t="n">
        <f aca="false">AVERAGE(B78:G78)</f>
        <v>74.432</v>
      </c>
      <c r="K78" s="1" t="s">
        <v>208</v>
      </c>
      <c r="L78" s="1" t="n">
        <v>87.7358474731445</v>
      </c>
      <c r="M78" s="1" t="n">
        <v>73.1132049560547</v>
      </c>
      <c r="N78" s="1" t="n">
        <v>78.1990509033203</v>
      </c>
      <c r="O78" s="1" t="n">
        <v>81.6037750244141</v>
      </c>
      <c r="P78" s="1" t="n">
        <v>68.3962249755859</v>
      </c>
      <c r="R78" s="1" t="n">
        <v>77.8096206665039</v>
      </c>
    </row>
    <row r="79" customFormat="false" ht="15.75" hidden="false" customHeight="true" outlineLevel="0" collapsed="false">
      <c r="A79" s="1" t="s">
        <v>136</v>
      </c>
      <c r="B79" s="1" t="n">
        <v>29.41</v>
      </c>
      <c r="C79" s="1" t="n">
        <v>36.46</v>
      </c>
      <c r="D79" s="1" t="n">
        <v>61.88</v>
      </c>
      <c r="E79" s="1" t="n">
        <v>41.63</v>
      </c>
      <c r="F79" s="1" t="n">
        <v>49.7</v>
      </c>
      <c r="G79" s="1" t="n">
        <v>51.54</v>
      </c>
      <c r="H79" s="1" t="n">
        <f aca="false">AVERAGE(B79:G79)</f>
        <v>45.1033333333333</v>
      </c>
      <c r="K79" s="1" t="s">
        <v>136</v>
      </c>
      <c r="L79" s="1" t="n">
        <v>14.1509437561035</v>
      </c>
      <c r="M79" s="1" t="n">
        <v>18.3962268829346</v>
      </c>
      <c r="N79" s="1" t="n">
        <v>36.9668235778809</v>
      </c>
      <c r="O79" s="1" t="n">
        <v>15.5660381317139</v>
      </c>
      <c r="P79" s="1" t="n">
        <v>41.5094337463379</v>
      </c>
      <c r="Q79" s="1" t="n">
        <v>33.3333320617676</v>
      </c>
      <c r="R79" s="1" t="n">
        <v>26.6537996927897</v>
      </c>
    </row>
    <row r="80" customFormat="false" ht="15.75" hidden="false" customHeight="true" outlineLevel="0" collapsed="false">
      <c r="A80" s="1" t="s">
        <v>266</v>
      </c>
      <c r="B80" s="1" t="n">
        <v>26.56</v>
      </c>
      <c r="C80" s="1" t="n">
        <v>33.95</v>
      </c>
      <c r="D80" s="1" t="n">
        <v>52.78</v>
      </c>
      <c r="E80" s="1" t="n">
        <v>38.73</v>
      </c>
      <c r="F80" s="1" t="n">
        <v>39.12</v>
      </c>
      <c r="G80" s="1" t="n">
        <v>36.13</v>
      </c>
      <c r="H80" s="1" t="n">
        <f aca="false">AVERAGE(B80:G80)</f>
        <v>37.8783333333333</v>
      </c>
      <c r="K80" s="1" t="s">
        <v>266</v>
      </c>
      <c r="L80" s="1" t="n">
        <v>20.2830181121826</v>
      </c>
      <c r="M80" s="1" t="n">
        <v>16.9811325073242</v>
      </c>
      <c r="N80" s="1" t="n">
        <v>16.1137447357178</v>
      </c>
      <c r="O80" s="1" t="n">
        <v>14.1509437561035</v>
      </c>
      <c r="P80" s="1" t="n">
        <v>13.2075471878052</v>
      </c>
      <c r="Q80" s="1" t="n">
        <v>17.6470584869385</v>
      </c>
      <c r="R80" s="1" t="n">
        <v>16.3972407976786</v>
      </c>
    </row>
    <row r="81" customFormat="false" ht="15.75" hidden="false" customHeight="true" outlineLevel="0" collapsed="false">
      <c r="A81" s="1" t="s">
        <v>189</v>
      </c>
      <c r="B81" s="1" t="n">
        <v>19.81</v>
      </c>
      <c r="C81" s="1" t="n">
        <v>22.25</v>
      </c>
      <c r="D81" s="1" t="n">
        <v>56.31</v>
      </c>
      <c r="E81" s="1" t="n">
        <v>37.73</v>
      </c>
      <c r="F81" s="1" t="n">
        <v>34.27</v>
      </c>
      <c r="G81" s="1" t="n">
        <v>37.99</v>
      </c>
      <c r="H81" s="1" t="n">
        <f aca="false">AVERAGE(B81:G81)</f>
        <v>34.7266666666667</v>
      </c>
      <c r="K81" s="1" t="s">
        <v>189</v>
      </c>
      <c r="L81" s="1" t="n">
        <v>12.7358493804932</v>
      </c>
      <c r="M81" s="1" t="n">
        <v>8.01886749267578</v>
      </c>
      <c r="N81" s="1" t="n">
        <v>34.1232223510742</v>
      </c>
      <c r="O81" s="1" t="n">
        <v>7.07547187805176</v>
      </c>
      <c r="P81" s="1" t="n">
        <v>9.90566062927246</v>
      </c>
      <c r="Q81" s="1" t="n">
        <v>36.2745094299316</v>
      </c>
      <c r="R81" s="1" t="n">
        <v>18.0222635269165</v>
      </c>
    </row>
    <row r="82" customFormat="false" ht="15.75" hidden="false" customHeight="true" outlineLevel="0" collapsed="false">
      <c r="A82" s="1" t="s">
        <v>127</v>
      </c>
      <c r="B82" s="1" t="n">
        <v>40.43</v>
      </c>
      <c r="C82" s="1" t="n">
        <v>55.36</v>
      </c>
      <c r="D82" s="1" t="n">
        <v>69.18</v>
      </c>
      <c r="E82" s="1" t="n">
        <v>53.48</v>
      </c>
      <c r="F82" s="1" t="n">
        <v>48.5</v>
      </c>
      <c r="G82" s="1" t="n">
        <v>58.87</v>
      </c>
      <c r="H82" s="1" t="n">
        <f aca="false">AVERAGE(B82:G82)</f>
        <v>54.3033333333333</v>
      </c>
      <c r="K82" s="1" t="s">
        <v>127</v>
      </c>
      <c r="L82" s="1" t="n">
        <v>40.5660362243652</v>
      </c>
      <c r="M82" s="1" t="n">
        <v>39.6226425170898</v>
      </c>
      <c r="N82" s="1" t="n">
        <v>43.6018943786621</v>
      </c>
      <c r="O82" s="1" t="n">
        <v>40.5660362243652</v>
      </c>
      <c r="P82" s="1" t="n">
        <v>31.6037731170654</v>
      </c>
      <c r="Q82" s="1" t="n">
        <v>52.9411773681641</v>
      </c>
      <c r="R82" s="1" t="n">
        <v>41.483593304952</v>
      </c>
    </row>
    <row r="83" customFormat="false" ht="15.75" hidden="false" customHeight="true" outlineLevel="0" collapsed="false">
      <c r="A83" s="1" t="s">
        <v>216</v>
      </c>
      <c r="B83" s="1" t="n">
        <v>16.97</v>
      </c>
      <c r="C83" s="1" t="n">
        <v>10.57</v>
      </c>
      <c r="D83" s="1" t="n">
        <v>41.43</v>
      </c>
      <c r="E83" s="1" t="n">
        <v>31.98</v>
      </c>
      <c r="F83" s="1" t="n">
        <v>29.5</v>
      </c>
      <c r="G83" s="1" t="n">
        <v>35.06</v>
      </c>
      <c r="H83" s="1" t="n">
        <f aca="false">AVERAGE(B83:G83)</f>
        <v>27.585</v>
      </c>
      <c r="K83" s="1" t="s">
        <v>216</v>
      </c>
      <c r="L83" s="1" t="n">
        <v>6.13207530975342</v>
      </c>
      <c r="M83" s="1" t="n">
        <v>0.943396210670471</v>
      </c>
      <c r="N83" s="1" t="n">
        <v>10.4265403747559</v>
      </c>
      <c r="O83" s="1" t="n">
        <v>7.54716968536377</v>
      </c>
      <c r="P83" s="1" t="n">
        <v>8.49056625366211</v>
      </c>
      <c r="Q83" s="1" t="n">
        <v>16.1764698028565</v>
      </c>
      <c r="R83" s="1" t="n">
        <v>8.28603627284368</v>
      </c>
    </row>
    <row r="84" customFormat="false" ht="15.75" hidden="false" customHeight="true" outlineLevel="0" collapsed="false">
      <c r="A84" s="1" t="s">
        <v>150</v>
      </c>
      <c r="B84" s="1" t="n">
        <v>22.89</v>
      </c>
      <c r="C84" s="1" t="n">
        <v>40.36</v>
      </c>
      <c r="D84" s="1" t="n">
        <v>57.96</v>
      </c>
      <c r="E84" s="1" t="n">
        <v>39.62</v>
      </c>
      <c r="F84" s="1" t="n">
        <v>44.57</v>
      </c>
      <c r="G84" s="1" t="n">
        <v>46.81</v>
      </c>
      <c r="H84" s="1" t="n">
        <f aca="false">AVERAGE(B84:G84)</f>
        <v>42.035</v>
      </c>
      <c r="K84" s="1" t="s">
        <v>150</v>
      </c>
      <c r="L84" s="1" t="n">
        <v>15.0943393707275</v>
      </c>
      <c r="M84" s="1" t="n">
        <v>22.6415100097656</v>
      </c>
      <c r="N84" s="1" t="n">
        <v>27.962085723877</v>
      </c>
      <c r="O84" s="1" t="n">
        <v>15.0943393707275</v>
      </c>
      <c r="P84" s="1" t="n">
        <v>32.0754699707031</v>
      </c>
      <c r="Q84" s="1" t="n">
        <v>35.294116973877</v>
      </c>
      <c r="R84" s="1" t="n">
        <v>24.6936435699463</v>
      </c>
    </row>
    <row r="85" customFormat="false" ht="15.75" hidden="false" customHeight="true" outlineLevel="0" collapsed="false">
      <c r="A85" s="1" t="s">
        <v>26</v>
      </c>
      <c r="B85" s="1" t="n">
        <v>81.05</v>
      </c>
      <c r="C85" s="1" t="n">
        <v>83.84</v>
      </c>
      <c r="D85" s="1" t="n">
        <v>79.19</v>
      </c>
      <c r="E85" s="1" t="n">
        <v>74.14</v>
      </c>
      <c r="F85" s="1" t="n">
        <v>83.33</v>
      </c>
      <c r="G85" s="1" t="n">
        <v>48.13</v>
      </c>
      <c r="H85" s="1" t="n">
        <f aca="false">AVERAGE(B85:G85)</f>
        <v>74.9466666666667</v>
      </c>
      <c r="K85" s="1" t="s">
        <v>26</v>
      </c>
      <c r="L85" s="1" t="n">
        <v>93.3962249755859</v>
      </c>
      <c r="M85" s="1" t="n">
        <v>92.9245300292969</v>
      </c>
      <c r="N85" s="1" t="n">
        <v>69.6682434082031</v>
      </c>
      <c r="O85" s="1" t="n">
        <v>87.7358474731445</v>
      </c>
      <c r="P85" s="1" t="n">
        <v>93.8679275512695</v>
      </c>
      <c r="Q85" s="1" t="n">
        <v>37.2549018859863</v>
      </c>
      <c r="R85" s="1" t="n">
        <v>79.1412792205811</v>
      </c>
    </row>
    <row r="86" customFormat="false" ht="15.75" hidden="false" customHeight="true" outlineLevel="0" collapsed="false">
      <c r="A86" s="1" t="s">
        <v>55</v>
      </c>
      <c r="B86" s="1" t="n">
        <v>48.09</v>
      </c>
      <c r="C86" s="1" t="n">
        <v>61.96</v>
      </c>
      <c r="D86" s="1" t="n">
        <v>74.53</v>
      </c>
      <c r="E86" s="1" t="n">
        <v>62.18</v>
      </c>
      <c r="F86" s="1" t="n">
        <v>60.04</v>
      </c>
      <c r="G86" s="1" t="n">
        <v>57.07</v>
      </c>
      <c r="H86" s="1" t="n">
        <f aca="false">AVERAGE(B86:G86)</f>
        <v>60.645</v>
      </c>
      <c r="K86" s="1" t="s">
        <v>55</v>
      </c>
      <c r="L86" s="1" t="n">
        <v>54.7169799804688</v>
      </c>
      <c r="M86" s="1" t="n">
        <v>62.7358474731445</v>
      </c>
      <c r="N86" s="1" t="n">
        <v>72.0379180908203</v>
      </c>
      <c r="O86" s="1" t="n">
        <v>63.2075462341309</v>
      </c>
      <c r="P86" s="1" t="n">
        <v>62.7358474731445</v>
      </c>
      <c r="Q86" s="1" t="n">
        <v>59.3137245178223</v>
      </c>
      <c r="R86" s="1" t="n">
        <v>62.4579772949219</v>
      </c>
    </row>
    <row r="87" customFormat="false" ht="15.75" hidden="false" customHeight="true" outlineLevel="0" collapsed="false">
      <c r="A87" s="1" t="s">
        <v>14</v>
      </c>
      <c r="B87" s="1" t="n">
        <v>84.83</v>
      </c>
      <c r="C87" s="1" t="n">
        <v>83.98</v>
      </c>
      <c r="D87" s="1" t="n">
        <v>88.76</v>
      </c>
      <c r="E87" s="1" t="n">
        <v>85.18</v>
      </c>
      <c r="F87" s="1" t="n">
        <v>73.84</v>
      </c>
      <c r="G87" s="1" t="n">
        <v>82.74</v>
      </c>
      <c r="H87" s="1" t="n">
        <f aca="false">AVERAGE(B87:G87)</f>
        <v>83.2216666666667</v>
      </c>
      <c r="K87" s="1" t="s">
        <v>14</v>
      </c>
      <c r="L87" s="1" t="n">
        <v>91.9811325073242</v>
      </c>
      <c r="M87" s="1" t="n">
        <v>93.3962249755859</v>
      </c>
      <c r="N87" s="1" t="n">
        <v>95.2606658935547</v>
      </c>
      <c r="O87" s="1" t="n">
        <v>96.698112487793</v>
      </c>
      <c r="P87" s="1" t="n">
        <v>87.2641525268555</v>
      </c>
      <c r="Q87" s="1" t="n">
        <v>94.1176452636719</v>
      </c>
      <c r="R87" s="1" t="n">
        <v>93.1196556091309</v>
      </c>
    </row>
    <row r="88" customFormat="false" ht="15.75" hidden="false" customHeight="true" outlineLevel="0" collapsed="false">
      <c r="A88" s="1" t="s">
        <v>96</v>
      </c>
      <c r="B88" s="1" t="n">
        <v>42.41</v>
      </c>
      <c r="C88" s="1" t="n">
        <v>62.62</v>
      </c>
      <c r="D88" s="1" t="n">
        <v>54.96</v>
      </c>
      <c r="E88" s="1" t="n">
        <v>56.51</v>
      </c>
      <c r="F88" s="1" t="n">
        <v>52.58</v>
      </c>
      <c r="G88" s="1" t="n">
        <v>54.93</v>
      </c>
      <c r="H88" s="1" t="n">
        <f aca="false">AVERAGE(B88:G88)</f>
        <v>54.0016666666667</v>
      </c>
      <c r="K88" s="1" t="s">
        <v>96</v>
      </c>
      <c r="L88" s="1" t="n">
        <v>41.5094337463379</v>
      </c>
      <c r="M88" s="1" t="n">
        <v>67.9245300292969</v>
      </c>
      <c r="N88" s="1" t="n">
        <v>21.3270149230957</v>
      </c>
      <c r="O88" s="1" t="n">
        <v>56.1320762634277</v>
      </c>
      <c r="P88" s="1" t="n">
        <v>47.1698112487793</v>
      </c>
      <c r="Q88" s="1" t="n">
        <v>51.470588684082</v>
      </c>
      <c r="R88" s="1" t="n">
        <v>47.5889091491699</v>
      </c>
    </row>
    <row r="89" customFormat="false" ht="15.75" hidden="false" customHeight="true" outlineLevel="0" collapsed="false">
      <c r="A89" s="1" t="s">
        <v>105</v>
      </c>
      <c r="B89" s="1" t="n">
        <v>37.68</v>
      </c>
      <c r="C89" s="1" t="n">
        <v>57.56</v>
      </c>
      <c r="D89" s="1" t="n">
        <v>52.66</v>
      </c>
      <c r="E89" s="1" t="n">
        <v>54.44</v>
      </c>
      <c r="F89" s="1" t="n">
        <v>57.33</v>
      </c>
      <c r="G89" s="1" t="n">
        <v>54.67</v>
      </c>
      <c r="H89" s="1" t="n">
        <f aca="false">AVERAGE(B89:G89)</f>
        <v>52.39</v>
      </c>
      <c r="K89" s="1" t="s">
        <v>105</v>
      </c>
      <c r="L89" s="1" t="n">
        <v>36.3207550048828</v>
      </c>
      <c r="M89" s="1" t="n">
        <v>69.8113174438477</v>
      </c>
      <c r="N89" s="1" t="n">
        <v>28.9099521636963</v>
      </c>
      <c r="O89" s="1" t="n">
        <v>46.698112487793</v>
      </c>
      <c r="P89" s="1" t="n">
        <v>60.8490562438965</v>
      </c>
      <c r="Q89" s="1" t="n">
        <v>52.4509811401367</v>
      </c>
      <c r="R89" s="1" t="n">
        <v>49.1733624140422</v>
      </c>
    </row>
    <row r="90" customFormat="false" ht="15.75" hidden="false" customHeight="true" outlineLevel="0" collapsed="false">
      <c r="A90" s="1" t="s">
        <v>106</v>
      </c>
      <c r="B90" s="1" t="n">
        <v>25.02</v>
      </c>
      <c r="C90" s="1" t="n">
        <v>34.8</v>
      </c>
      <c r="D90" s="1" t="n">
        <v>35.98</v>
      </c>
      <c r="E90" s="1" t="n">
        <v>38.57</v>
      </c>
      <c r="F90" s="1" t="n">
        <v>29.24</v>
      </c>
      <c r="G90" s="1" t="n">
        <v>27.86</v>
      </c>
      <c r="H90" s="1" t="n">
        <f aca="false">AVERAGE(B90:G90)</f>
        <v>31.9116666666667</v>
      </c>
      <c r="K90" s="1" t="s">
        <v>106</v>
      </c>
      <c r="L90" s="1" t="n">
        <v>10.3773584365845</v>
      </c>
      <c r="M90" s="1" t="n">
        <v>14.1509437561035</v>
      </c>
      <c r="N90" s="1" t="n">
        <v>8.05687236785889</v>
      </c>
      <c r="O90" s="1" t="n">
        <v>16.0377349853516</v>
      </c>
      <c r="P90" s="1" t="n">
        <v>4.24528312683106</v>
      </c>
      <c r="Q90" s="1" t="n">
        <v>7.84313726425171</v>
      </c>
      <c r="R90" s="1" t="n">
        <v>10.1185549894969</v>
      </c>
    </row>
    <row r="91" customFormat="false" ht="15.75" hidden="false" customHeight="true" outlineLevel="0" collapsed="false">
      <c r="A91" s="1" t="s">
        <v>92</v>
      </c>
      <c r="B91" s="1" t="n">
        <v>22.79</v>
      </c>
      <c r="C91" s="1" t="n">
        <v>31.54</v>
      </c>
      <c r="D91" s="1" t="n">
        <v>32.91</v>
      </c>
      <c r="E91" s="1" t="n">
        <v>35.72</v>
      </c>
      <c r="F91" s="1" t="n">
        <v>38.04</v>
      </c>
      <c r="G91" s="1" t="n">
        <v>42.64</v>
      </c>
      <c r="H91" s="1" t="n">
        <f aca="false">AVERAGE(B91:G91)</f>
        <v>33.94</v>
      </c>
      <c r="K91" s="1" t="s">
        <v>92</v>
      </c>
      <c r="L91" s="1" t="n">
        <v>8.49056625366211</v>
      </c>
      <c r="M91" s="1" t="n">
        <v>8.49056625366211</v>
      </c>
      <c r="N91" s="1" t="n">
        <v>2.36966824531555</v>
      </c>
      <c r="O91" s="1" t="n">
        <v>3.77358484268189</v>
      </c>
      <c r="P91" s="1" t="n">
        <v>6.60377359390259</v>
      </c>
      <c r="Q91" s="1" t="n">
        <v>23.529411315918</v>
      </c>
      <c r="R91" s="1" t="n">
        <v>8.87626175085704</v>
      </c>
    </row>
    <row r="92" customFormat="false" ht="15.75" hidden="false" customHeight="true" outlineLevel="0" collapsed="false">
      <c r="A92" s="1" t="s">
        <v>24</v>
      </c>
      <c r="B92" s="1" t="n">
        <v>78.5</v>
      </c>
      <c r="C92" s="1" t="n">
        <v>85.72</v>
      </c>
      <c r="D92" s="1" t="n">
        <v>78.71</v>
      </c>
      <c r="E92" s="1" t="n">
        <v>84.15</v>
      </c>
      <c r="F92" s="1" t="n">
        <v>83.34</v>
      </c>
      <c r="G92" s="1" t="n">
        <v>87.13</v>
      </c>
      <c r="H92" s="1" t="n">
        <f aca="false">AVERAGE(B92:G92)</f>
        <v>82.925</v>
      </c>
      <c r="K92" s="1" t="s">
        <v>24</v>
      </c>
      <c r="L92" s="1" t="n">
        <v>92.9245300292969</v>
      </c>
      <c r="M92" s="1" t="n">
        <v>94.3396224975586</v>
      </c>
      <c r="N92" s="1" t="n">
        <v>78.6729888916016</v>
      </c>
      <c r="O92" s="1" t="n">
        <v>93.8679275512695</v>
      </c>
      <c r="P92" s="1" t="n">
        <v>96.2264175415039</v>
      </c>
      <c r="Q92" s="1" t="n">
        <v>95.5882339477539</v>
      </c>
      <c r="R92" s="1" t="n">
        <v>91.9366200764974</v>
      </c>
    </row>
    <row r="93" customFormat="false" ht="15.75" hidden="false" customHeight="true" outlineLevel="0" collapsed="false">
      <c r="A93" s="1" t="s">
        <v>22</v>
      </c>
      <c r="B93" s="1" t="n">
        <v>67.35</v>
      </c>
      <c r="C93" s="1" t="n">
        <v>76.74</v>
      </c>
      <c r="D93" s="1" t="n">
        <v>49.6</v>
      </c>
      <c r="E93" s="1" t="n">
        <v>69.78</v>
      </c>
      <c r="F93" s="1" t="n">
        <v>74.88</v>
      </c>
      <c r="G93" s="1" t="n">
        <v>64.88</v>
      </c>
      <c r="H93" s="1" t="n">
        <f aca="false">AVERAGE(B93:G93)</f>
        <v>67.205</v>
      </c>
      <c r="K93" s="1" t="s">
        <v>22</v>
      </c>
      <c r="L93" s="1" t="n">
        <v>78.7735824584961</v>
      </c>
      <c r="M93" s="1" t="n">
        <v>83.4905624389648</v>
      </c>
      <c r="N93" s="1" t="n">
        <v>9.95260620117188</v>
      </c>
      <c r="O93" s="1" t="n">
        <v>77.3584899902344</v>
      </c>
      <c r="P93" s="1" t="n">
        <v>84.4339599609375</v>
      </c>
      <c r="Q93" s="1" t="n">
        <v>69.1176452636719</v>
      </c>
      <c r="R93" s="1" t="n">
        <v>67.1878077189128</v>
      </c>
    </row>
    <row r="94" customFormat="false" ht="15.75" hidden="false" customHeight="true" outlineLevel="0" collapsed="false">
      <c r="A94" s="1" t="s">
        <v>43</v>
      </c>
      <c r="B94" s="1" t="n">
        <v>59.82</v>
      </c>
      <c r="C94" s="1" t="n">
        <v>71.27</v>
      </c>
      <c r="D94" s="1" t="n">
        <v>73.61</v>
      </c>
      <c r="E94" s="1" t="n">
        <v>68.28</v>
      </c>
      <c r="F94" s="1" t="n">
        <v>65.79</v>
      </c>
      <c r="G94" s="1" t="n">
        <v>77.57</v>
      </c>
      <c r="H94" s="1" t="n">
        <f aca="false">AVERAGE(B94:G94)</f>
        <v>69.39</v>
      </c>
      <c r="K94" s="1" t="s">
        <v>43</v>
      </c>
      <c r="L94" s="1" t="n">
        <v>67.9245300292969</v>
      </c>
      <c r="M94" s="1" t="n">
        <v>70.2830200195313</v>
      </c>
      <c r="N94" s="1" t="n">
        <v>64.9289093017578</v>
      </c>
      <c r="O94" s="1" t="n">
        <v>60.8490562438965</v>
      </c>
      <c r="P94" s="1" t="n">
        <v>72.6415100097656</v>
      </c>
      <c r="Q94" s="1" t="n">
        <v>85.7843170166016</v>
      </c>
      <c r="R94" s="1" t="n">
        <v>70.4018904368083</v>
      </c>
    </row>
    <row r="95" customFormat="false" ht="15.75" hidden="false" customHeight="true" outlineLevel="0" collapsed="false">
      <c r="A95" s="1" t="s">
        <v>133</v>
      </c>
      <c r="B95" s="1" t="n">
        <v>42.52</v>
      </c>
      <c r="C95" s="1" t="n">
        <v>47.14</v>
      </c>
      <c r="D95" s="1" t="n">
        <v>53.07</v>
      </c>
      <c r="E95" s="1" t="n">
        <v>50.04</v>
      </c>
      <c r="F95" s="1" t="n">
        <v>52.62</v>
      </c>
      <c r="G95" s="1" t="n">
        <v>47.76</v>
      </c>
      <c r="H95" s="1" t="n">
        <f aca="false">AVERAGE(B95:G95)</f>
        <v>48.8583333333333</v>
      </c>
      <c r="K95" s="1" t="s">
        <v>126</v>
      </c>
      <c r="L95" s="1" t="n">
        <v>50.9433975219727</v>
      </c>
      <c r="M95" s="1" t="n">
        <v>66.0377349853516</v>
      </c>
      <c r="N95" s="1" t="n">
        <v>57.3459701538086</v>
      </c>
      <c r="O95" s="1" t="n">
        <v>44.8113212585449</v>
      </c>
      <c r="P95" s="1" t="n">
        <v>53.7735862731934</v>
      </c>
      <c r="Q95" s="1" t="n">
        <v>65.1960754394531</v>
      </c>
      <c r="R95" s="1" t="n">
        <v>56.3513476053874</v>
      </c>
    </row>
    <row r="96" customFormat="false" ht="15.75" hidden="false" customHeight="true" outlineLevel="0" collapsed="false">
      <c r="A96" s="1" t="s">
        <v>126</v>
      </c>
      <c r="B96" s="1" t="n">
        <v>46.23</v>
      </c>
      <c r="C96" s="1" t="n">
        <v>56.21</v>
      </c>
      <c r="D96" s="1" t="n">
        <v>75.13</v>
      </c>
      <c r="E96" s="1" t="n">
        <v>58.14</v>
      </c>
      <c r="F96" s="1" t="n">
        <v>55.76</v>
      </c>
      <c r="G96" s="1" t="n">
        <v>68.64</v>
      </c>
      <c r="H96" s="1" t="n">
        <f aca="false">AVERAGE(B96:G96)</f>
        <v>60.0183333333333</v>
      </c>
      <c r="K96" s="1" t="s">
        <v>40</v>
      </c>
      <c r="L96" s="1" t="n">
        <v>90.0943374633789</v>
      </c>
      <c r="M96" s="1" t="n">
        <v>96.698112487793</v>
      </c>
      <c r="N96" s="1" t="n">
        <v>81.5165863037109</v>
      </c>
      <c r="O96" s="1" t="n">
        <v>92.4528274536133</v>
      </c>
      <c r="P96" s="1" t="n">
        <v>92.4528274536133</v>
      </c>
      <c r="Q96" s="1" t="n">
        <v>85.2941207885742</v>
      </c>
      <c r="R96" s="1" t="n">
        <v>89.7514686584473</v>
      </c>
    </row>
    <row r="97" customFormat="false" ht="15.75" hidden="false" customHeight="true" outlineLevel="0" collapsed="false">
      <c r="A97" s="1" t="s">
        <v>40</v>
      </c>
      <c r="B97" s="1" t="n">
        <v>77.38</v>
      </c>
      <c r="C97" s="1" t="n">
        <v>94.12</v>
      </c>
      <c r="D97" s="1" t="n">
        <v>87.66</v>
      </c>
      <c r="E97" s="1" t="n">
        <v>84.05</v>
      </c>
      <c r="F97" s="1" t="n">
        <v>76.52</v>
      </c>
      <c r="G97" s="1" t="n">
        <v>78.04</v>
      </c>
      <c r="H97" s="1" t="n">
        <f aca="false">AVERAGE(B97:G97)</f>
        <v>82.9616666666667</v>
      </c>
      <c r="K97" s="1" t="s">
        <v>267</v>
      </c>
      <c r="L97" s="1" t="n">
        <v>82.0754699707031</v>
      </c>
      <c r="M97" s="1" t="n">
        <v>84.9056625366211</v>
      </c>
      <c r="N97" s="1" t="n">
        <v>100</v>
      </c>
      <c r="O97" s="1" t="n">
        <v>95.2830200195313</v>
      </c>
      <c r="P97" s="1" t="n">
        <v>81.6037750244141</v>
      </c>
      <c r="Q97" s="1" t="n">
        <v>91.6666641235352</v>
      </c>
      <c r="R97" s="1" t="n">
        <v>89.2557652791341</v>
      </c>
    </row>
    <row r="98" customFormat="false" ht="15.75" hidden="false" customHeight="true" outlineLevel="0" collapsed="false">
      <c r="A98" s="1" t="s">
        <v>117</v>
      </c>
      <c r="B98" s="1" t="n">
        <v>68.71</v>
      </c>
      <c r="C98" s="1" t="n">
        <v>77.91</v>
      </c>
      <c r="D98" s="1" t="n">
        <v>91.79</v>
      </c>
      <c r="E98" s="1" t="n">
        <v>85.59</v>
      </c>
      <c r="F98" s="1" t="n">
        <v>73.92</v>
      </c>
      <c r="G98" s="1" t="n">
        <v>83.79</v>
      </c>
      <c r="H98" s="1" t="n">
        <f aca="false">AVERAGE(B98:G98)</f>
        <v>80.285</v>
      </c>
      <c r="K98" s="1" t="s">
        <v>75</v>
      </c>
      <c r="L98" s="1" t="n">
        <v>57.5471687316895</v>
      </c>
      <c r="M98" s="1" t="n">
        <v>64.6226425170898</v>
      </c>
      <c r="N98" s="1" t="n">
        <v>40.2843589782715</v>
      </c>
      <c r="O98" s="1" t="n">
        <v>58.0188674926758</v>
      </c>
      <c r="P98" s="1" t="n">
        <v>59.4339637756348</v>
      </c>
      <c r="Q98" s="1" t="n">
        <v>26.9607849121094</v>
      </c>
      <c r="R98" s="1" t="n">
        <v>51.1446310679118</v>
      </c>
    </row>
    <row r="99" customFormat="false" ht="15.75" hidden="false" customHeight="true" outlineLevel="0" collapsed="false">
      <c r="A99" s="1" t="s">
        <v>75</v>
      </c>
      <c r="B99" s="1" t="n">
        <v>54.16</v>
      </c>
      <c r="C99" s="1" t="n">
        <v>54.62</v>
      </c>
      <c r="D99" s="1" t="n">
        <v>60.06</v>
      </c>
      <c r="E99" s="1" t="n">
        <v>61.79</v>
      </c>
      <c r="F99" s="1" t="n">
        <v>61.2</v>
      </c>
      <c r="G99" s="1" t="n">
        <v>44.04</v>
      </c>
      <c r="H99" s="1" t="n">
        <f aca="false">AVERAGE(B99:G99)</f>
        <v>55.9783333333333</v>
      </c>
      <c r="K99" s="1" t="s">
        <v>80</v>
      </c>
      <c r="L99" s="1" t="n">
        <v>47.1698112487793</v>
      </c>
      <c r="M99" s="1" t="n">
        <v>57.0754699707031</v>
      </c>
      <c r="N99" s="1" t="n">
        <v>36.4928894042969</v>
      </c>
      <c r="O99" s="1" t="n">
        <v>36.7924537658691</v>
      </c>
      <c r="P99" s="1" t="n">
        <v>53.301887512207</v>
      </c>
      <c r="Q99" s="1" t="n">
        <v>21.5686283111572</v>
      </c>
      <c r="R99" s="1" t="n">
        <v>42.0668567021688</v>
      </c>
    </row>
    <row r="100" customFormat="false" ht="15.75" hidden="false" customHeight="true" outlineLevel="0" collapsed="false">
      <c r="A100" s="1" t="s">
        <v>80</v>
      </c>
      <c r="B100" s="1" t="n">
        <v>42.76</v>
      </c>
      <c r="C100" s="1" t="n">
        <v>54.45</v>
      </c>
      <c r="D100" s="1" t="n">
        <v>62.02</v>
      </c>
      <c r="E100" s="1" t="n">
        <v>51.9</v>
      </c>
      <c r="F100" s="1" t="n">
        <v>55.88</v>
      </c>
      <c r="G100" s="1" t="n">
        <v>40.05</v>
      </c>
      <c r="H100" s="1" t="n">
        <f aca="false">AVERAGE(B100:G100)</f>
        <v>51.1766666666667</v>
      </c>
      <c r="K100" s="1" t="s">
        <v>100</v>
      </c>
      <c r="L100" s="1" t="n">
        <v>24.056604385376</v>
      </c>
      <c r="M100" s="1" t="n">
        <v>38.6792449951172</v>
      </c>
      <c r="N100" s="1" t="n">
        <v>14.6919431686401</v>
      </c>
      <c r="O100" s="1" t="n">
        <v>41.0377349853516</v>
      </c>
      <c r="P100" s="1" t="n">
        <v>37.7358474731445</v>
      </c>
      <c r="Q100" s="1" t="n">
        <v>41.6666679382324</v>
      </c>
      <c r="R100" s="1" t="n">
        <v>32.9780071576436</v>
      </c>
    </row>
    <row r="101" customFormat="false" ht="15.75" hidden="false" customHeight="true" outlineLevel="0" collapsed="false">
      <c r="A101" s="1" t="s">
        <v>100</v>
      </c>
      <c r="B101" s="1" t="n">
        <v>30.79</v>
      </c>
      <c r="C101" s="1" t="n">
        <v>50.51</v>
      </c>
      <c r="D101" s="1" t="n">
        <v>46</v>
      </c>
      <c r="E101" s="1" t="n">
        <v>50.82</v>
      </c>
      <c r="F101" s="1" t="n">
        <v>49.07</v>
      </c>
      <c r="G101" s="1" t="n">
        <v>51.59</v>
      </c>
      <c r="H101" s="1" t="n">
        <f aca="false">AVERAGE(B101:G101)</f>
        <v>46.4633333333333</v>
      </c>
      <c r="K101" s="1" t="s">
        <v>219</v>
      </c>
      <c r="L101" s="1" t="n">
        <v>64.1509399414063</v>
      </c>
      <c r="M101" s="1" t="n">
        <v>46.2264137268066</v>
      </c>
      <c r="N101" s="1" t="n">
        <v>90.9952621459961</v>
      </c>
      <c r="O101" s="1" t="n">
        <v>68.3962249755859</v>
      </c>
      <c r="P101" s="1" t="n">
        <v>42.4528312683106</v>
      </c>
      <c r="Q101" s="1" t="n">
        <v>84.3137283325195</v>
      </c>
      <c r="R101" s="1" t="n">
        <v>66.0892333984375</v>
      </c>
    </row>
    <row r="102" customFormat="false" ht="15.75" hidden="false" customHeight="true" outlineLevel="0" collapsed="false">
      <c r="A102" s="1" t="s">
        <v>219</v>
      </c>
      <c r="B102" s="1" t="n">
        <v>54.03</v>
      </c>
      <c r="C102" s="1" t="n">
        <v>44.87</v>
      </c>
      <c r="D102" s="1" t="n">
        <v>87.48</v>
      </c>
      <c r="E102" s="1" t="n">
        <v>72.98</v>
      </c>
      <c r="F102" s="1" t="n">
        <v>48.29</v>
      </c>
      <c r="G102" s="1" t="n">
        <v>76.71</v>
      </c>
      <c r="H102" s="1" t="n">
        <f aca="false">AVERAGE(B102:G102)</f>
        <v>64.06</v>
      </c>
      <c r="K102" s="1" t="s">
        <v>268</v>
      </c>
      <c r="L102" s="1" t="n">
        <v>2.35849046707153</v>
      </c>
      <c r="M102" s="1" t="n">
        <v>7.07547187805176</v>
      </c>
      <c r="N102" s="1" t="n">
        <v>30.3317527770996</v>
      </c>
      <c r="O102" s="1" t="n">
        <v>5.66037750244141</v>
      </c>
      <c r="P102" s="1" t="n">
        <v>0</v>
      </c>
      <c r="Q102" s="1" t="n">
        <v>0</v>
      </c>
      <c r="R102" s="1" t="n">
        <v>7.57101543744405</v>
      </c>
    </row>
    <row r="103" customFormat="false" ht="15.75" hidden="false" customHeight="true" outlineLevel="0" collapsed="false">
      <c r="A103" s="1" t="s">
        <v>83</v>
      </c>
      <c r="B103" s="1" t="n">
        <v>42.8</v>
      </c>
      <c r="C103" s="1" t="n">
        <v>49.86</v>
      </c>
      <c r="D103" s="1" t="n">
        <v>62.46</v>
      </c>
      <c r="E103" s="1" t="n">
        <v>60.44</v>
      </c>
      <c r="F103" s="1" t="n">
        <v>52.05</v>
      </c>
      <c r="G103" s="1" t="n">
        <v>59.15</v>
      </c>
      <c r="H103" s="1" t="n">
        <f aca="false">AVERAGE(B103:G103)</f>
        <v>54.46</v>
      </c>
      <c r="K103" s="1" t="s">
        <v>38</v>
      </c>
      <c r="L103" s="1" t="n">
        <v>79.7169799804688</v>
      </c>
      <c r="M103" s="1" t="n">
        <v>90.5660400390625</v>
      </c>
      <c r="N103" s="1" t="n">
        <v>68.2464447021484</v>
      </c>
      <c r="O103" s="1" t="n">
        <v>85.8490600585938</v>
      </c>
      <c r="P103" s="1" t="n">
        <v>84.9056625366211</v>
      </c>
      <c r="Q103" s="1" t="n">
        <v>73.529411315918</v>
      </c>
      <c r="R103" s="1" t="n">
        <v>80.4689331054688</v>
      </c>
    </row>
    <row r="104" customFormat="false" ht="15.75" hidden="false" customHeight="true" outlineLevel="0" collapsed="false">
      <c r="A104" s="1" t="s">
        <v>27</v>
      </c>
      <c r="B104" s="1" t="n">
        <v>53.75</v>
      </c>
      <c r="C104" s="1" t="n">
        <v>57.59</v>
      </c>
      <c r="D104" s="1" t="n">
        <v>73.01</v>
      </c>
      <c r="E104" s="1" t="n">
        <v>61.87</v>
      </c>
      <c r="F104" s="1" t="n">
        <v>61.66</v>
      </c>
      <c r="G104" s="1" t="n">
        <v>40.86</v>
      </c>
      <c r="H104" s="1" t="n">
        <f aca="false">AVERAGE(B104:G104)</f>
        <v>58.1233333333333</v>
      </c>
      <c r="K104" s="1" t="s">
        <v>83</v>
      </c>
      <c r="L104" s="1" t="n">
        <v>48.5849075317383</v>
      </c>
      <c r="M104" s="1" t="n">
        <v>47.6415100097656</v>
      </c>
      <c r="N104" s="1" t="n">
        <v>34.5971565246582</v>
      </c>
      <c r="O104" s="1" t="n">
        <v>41.5094337463379</v>
      </c>
      <c r="P104" s="1" t="n">
        <v>41.0377349853516</v>
      </c>
      <c r="Q104" s="1" t="n">
        <v>43.1372566223145</v>
      </c>
      <c r="R104" s="1" t="n">
        <v>42.7513332366943</v>
      </c>
    </row>
    <row r="105" customFormat="false" ht="15.75" hidden="false" customHeight="true" outlineLevel="0" collapsed="false">
      <c r="A105" s="1" t="s">
        <v>93</v>
      </c>
      <c r="B105" s="1" t="n">
        <v>25.76</v>
      </c>
      <c r="C105" s="1" t="n">
        <v>34.94</v>
      </c>
      <c r="D105" s="1" t="n">
        <v>65.33</v>
      </c>
      <c r="E105" s="1" t="n">
        <v>43.28</v>
      </c>
      <c r="F105" s="1" t="n">
        <v>48.67</v>
      </c>
      <c r="G105" s="1" t="n">
        <v>42.22</v>
      </c>
      <c r="H105" s="1" t="n">
        <f aca="false">AVERAGE(B105:G105)</f>
        <v>43.3666666666667</v>
      </c>
      <c r="K105" s="1" t="s">
        <v>27</v>
      </c>
      <c r="L105" s="1" t="n">
        <v>60.3773574829102</v>
      </c>
      <c r="M105" s="1" t="n">
        <v>51.4150924682617</v>
      </c>
      <c r="N105" s="1" t="n">
        <v>58.7677726745606</v>
      </c>
      <c r="O105" s="1" t="n">
        <v>58.9622650146484</v>
      </c>
      <c r="P105" s="1" t="n">
        <v>63.6792449951172</v>
      </c>
      <c r="Q105" s="1" t="n">
        <v>31.3725490570068</v>
      </c>
      <c r="R105" s="1" t="n">
        <v>54.0957136154175</v>
      </c>
    </row>
    <row r="106" customFormat="false" ht="15.75" hidden="false" customHeight="true" outlineLevel="0" collapsed="false">
      <c r="A106" s="1" t="s">
        <v>269</v>
      </c>
      <c r="B106" s="1" t="n">
        <v>28.03</v>
      </c>
      <c r="C106" s="1" t="n">
        <v>40.21</v>
      </c>
      <c r="D106" s="1" t="n">
        <v>75.27</v>
      </c>
      <c r="E106" s="1" t="n">
        <v>48.08</v>
      </c>
      <c r="F106" s="1" t="n">
        <v>44.14</v>
      </c>
      <c r="G106" s="1" t="n">
        <v>27.55</v>
      </c>
      <c r="H106" s="1" t="n">
        <f aca="false">AVERAGE(B106:G106)</f>
        <v>43.88</v>
      </c>
      <c r="K106" s="1" t="s">
        <v>93</v>
      </c>
      <c r="L106" s="1" t="n">
        <v>11.3207550048828</v>
      </c>
      <c r="M106" s="1" t="n">
        <v>18.8679237365723</v>
      </c>
      <c r="N106" s="1" t="n">
        <v>26.5402851104736</v>
      </c>
      <c r="O106" s="1" t="n">
        <v>12.7358493804932</v>
      </c>
      <c r="P106" s="1" t="n">
        <v>29.2452831268311</v>
      </c>
      <c r="Q106" s="1" t="n">
        <v>28.4313716888428</v>
      </c>
      <c r="R106" s="1" t="n">
        <v>21.1902446746826</v>
      </c>
    </row>
    <row r="107" customFormat="false" ht="15.75" hidden="false" customHeight="true" outlineLevel="0" collapsed="false">
      <c r="A107" s="1" t="s">
        <v>57</v>
      </c>
      <c r="B107" s="1" t="n">
        <v>63.57</v>
      </c>
      <c r="C107" s="1" t="n">
        <v>69.31</v>
      </c>
      <c r="D107" s="1" t="n">
        <v>79.78</v>
      </c>
      <c r="E107" s="1" t="n">
        <v>76.31</v>
      </c>
      <c r="F107" s="1" t="n">
        <v>73.1</v>
      </c>
      <c r="G107" s="1" t="n">
        <v>78.26</v>
      </c>
      <c r="H107" s="1" t="n">
        <f aca="false">AVERAGE(B107:G107)</f>
        <v>73.3883333333333</v>
      </c>
      <c r="K107" s="1" t="s">
        <v>269</v>
      </c>
      <c r="L107" s="1" t="n">
        <v>19.8113212585449</v>
      </c>
      <c r="M107" s="1" t="n">
        <v>28.301887512207</v>
      </c>
      <c r="N107" s="1" t="n">
        <v>75.3554534912109</v>
      </c>
      <c r="O107" s="1" t="n">
        <v>22.6415100097656</v>
      </c>
      <c r="P107" s="1" t="n">
        <v>17.9245281219482</v>
      </c>
      <c r="Q107" s="1" t="n">
        <v>5.39215707778931</v>
      </c>
      <c r="R107" s="1" t="n">
        <v>28.2378095785777</v>
      </c>
    </row>
    <row r="108" customFormat="false" ht="15.75" hidden="false" customHeight="true" outlineLevel="0" collapsed="false">
      <c r="A108" s="1" t="s">
        <v>132</v>
      </c>
      <c r="B108" s="1" t="n">
        <v>23.34</v>
      </c>
      <c r="C108" s="1" t="n">
        <v>29.9</v>
      </c>
      <c r="D108" s="1" t="n">
        <v>43.4</v>
      </c>
      <c r="E108" s="1" t="n">
        <v>41.24</v>
      </c>
      <c r="F108" s="1" t="n">
        <v>40.81</v>
      </c>
      <c r="G108" s="1" t="n">
        <v>46.83</v>
      </c>
      <c r="H108" s="1" t="n">
        <f aca="false">AVERAGE(B108:G108)</f>
        <v>37.5866666666667</v>
      </c>
      <c r="K108" s="1" t="s">
        <v>57</v>
      </c>
      <c r="L108" s="1" t="n">
        <v>74.5283050537109</v>
      </c>
      <c r="M108" s="1" t="n">
        <v>74.0566024780273</v>
      </c>
      <c r="N108" s="1" t="n">
        <v>66.8246459960938</v>
      </c>
      <c r="O108" s="1" t="n">
        <v>83.0188674926758</v>
      </c>
      <c r="P108" s="1" t="n">
        <v>86.3207550048828</v>
      </c>
      <c r="Q108" s="1" t="n">
        <v>78.4313735961914</v>
      </c>
      <c r="R108" s="1" t="n">
        <v>77.1967582702637</v>
      </c>
    </row>
    <row r="109" customFormat="false" ht="15.75" hidden="false" customHeight="true" outlineLevel="0" collapsed="false">
      <c r="A109" s="1" t="s">
        <v>235</v>
      </c>
      <c r="B109" s="1" t="n">
        <v>42.51</v>
      </c>
      <c r="C109" s="1" t="n">
        <v>39.25</v>
      </c>
      <c r="D109" s="1" t="n">
        <v>65.42</v>
      </c>
      <c r="E109" s="1" t="n">
        <v>50.97</v>
      </c>
      <c r="F109" s="1" t="n">
        <v>47.09</v>
      </c>
      <c r="G109" s="1" t="n">
        <v>59.58</v>
      </c>
      <c r="H109" s="1" t="n">
        <f aca="false">AVERAGE(B109:G109)</f>
        <v>50.8033333333333</v>
      </c>
      <c r="K109" s="1" t="s">
        <v>132</v>
      </c>
      <c r="L109" s="1" t="n">
        <v>10.8490562438965</v>
      </c>
      <c r="M109" s="1" t="n">
        <v>6.13207530975342</v>
      </c>
      <c r="N109" s="1" t="n">
        <v>9.47867298126221</v>
      </c>
      <c r="O109" s="1" t="n">
        <v>13.2075471878052</v>
      </c>
      <c r="P109" s="1" t="n">
        <v>14.6226415634155</v>
      </c>
      <c r="Q109" s="1" t="n">
        <v>30.8823528289795</v>
      </c>
      <c r="R109" s="1" t="n">
        <v>14.1953910191854</v>
      </c>
    </row>
    <row r="110" customFormat="false" ht="15.75" hidden="false" customHeight="true" outlineLevel="0" collapsed="false">
      <c r="A110" s="1" t="s">
        <v>201</v>
      </c>
      <c r="B110" s="1" t="n">
        <v>28.59</v>
      </c>
      <c r="C110" s="1" t="n">
        <v>28.36</v>
      </c>
      <c r="D110" s="1" t="n">
        <v>63.21</v>
      </c>
      <c r="E110" s="1" t="n">
        <v>44.64</v>
      </c>
      <c r="F110" s="1" t="n">
        <v>40.6</v>
      </c>
      <c r="G110" s="1" t="n">
        <v>58.04</v>
      </c>
      <c r="H110" s="1" t="n">
        <f aca="false">AVERAGE(B110:G110)</f>
        <v>43.9066666666667</v>
      </c>
      <c r="K110" s="1" t="s">
        <v>235</v>
      </c>
      <c r="L110" s="1" t="n">
        <v>33.4905662536621</v>
      </c>
      <c r="M110" s="1" t="n">
        <v>16.5094337463379</v>
      </c>
      <c r="N110" s="1" t="n">
        <v>35.5450248718262</v>
      </c>
      <c r="O110" s="1" t="n">
        <v>33.9622650146484</v>
      </c>
      <c r="P110" s="1" t="n">
        <v>29.7169818878174</v>
      </c>
      <c r="Q110" s="1" t="n">
        <v>47.5490188598633</v>
      </c>
      <c r="R110" s="1" t="n">
        <v>32.7955484390259</v>
      </c>
    </row>
    <row r="111" customFormat="false" ht="15.75" hidden="false" customHeight="true" outlineLevel="0" collapsed="false">
      <c r="A111" s="1" t="s">
        <v>163</v>
      </c>
      <c r="B111" s="1" t="n">
        <v>17.17</v>
      </c>
      <c r="C111" s="1" t="n">
        <v>21.86</v>
      </c>
      <c r="D111" s="1" t="n">
        <v>33.43</v>
      </c>
      <c r="E111" s="1" t="n">
        <v>31.46</v>
      </c>
      <c r="F111" s="1" t="n">
        <v>26.86</v>
      </c>
      <c r="G111" s="1" t="n">
        <v>31.3</v>
      </c>
      <c r="H111" s="1" t="n">
        <f aca="false">AVERAGE(B111:G111)</f>
        <v>27.0133333333333</v>
      </c>
      <c r="K111" s="1" t="s">
        <v>201</v>
      </c>
      <c r="L111" s="1" t="n">
        <v>20.754716873169</v>
      </c>
      <c r="M111" s="1" t="n">
        <v>8.96226406097412</v>
      </c>
      <c r="N111" s="1" t="n">
        <v>42.6540298461914</v>
      </c>
      <c r="O111" s="1" t="n">
        <v>16.9811325073242</v>
      </c>
      <c r="P111" s="1" t="n">
        <v>18.3962268829346</v>
      </c>
      <c r="Q111" s="1" t="n">
        <v>49.0196075439453</v>
      </c>
      <c r="R111" s="1" t="n">
        <v>26.1279962857564</v>
      </c>
    </row>
    <row r="112" customFormat="false" ht="15.75" hidden="false" customHeight="true" outlineLevel="0" collapsed="false">
      <c r="A112" s="1" t="s">
        <v>212</v>
      </c>
      <c r="B112" s="1" t="n">
        <v>83.43</v>
      </c>
      <c r="C112" s="1" t="n">
        <v>85.82</v>
      </c>
      <c r="D112" s="1" t="n">
        <v>92.35</v>
      </c>
      <c r="E112" s="1" t="n">
        <v>86.82</v>
      </c>
      <c r="F112" s="1" t="n">
        <v>82.14</v>
      </c>
      <c r="G112" s="1" t="n">
        <v>82.28</v>
      </c>
      <c r="H112" s="1" t="n">
        <f aca="false">AVERAGE(B112:G112)</f>
        <v>85.4733333333333</v>
      </c>
      <c r="K112" s="1" t="s">
        <v>163</v>
      </c>
      <c r="L112" s="1" t="n">
        <v>3.77358484268189</v>
      </c>
      <c r="M112" s="1" t="n">
        <v>5.18867921829224</v>
      </c>
      <c r="N112" s="1" t="n">
        <v>4.26540279388428</v>
      </c>
      <c r="O112" s="1" t="n">
        <v>2.35849046707153</v>
      </c>
      <c r="P112" s="1" t="n">
        <v>2.35849046707153</v>
      </c>
      <c r="Q112" s="1" t="n">
        <v>9.80392169952393</v>
      </c>
      <c r="R112" s="1" t="n">
        <v>4.6247615814209</v>
      </c>
    </row>
    <row r="113" customFormat="false" ht="15.75" hidden="false" customHeight="true" outlineLevel="0" collapsed="false">
      <c r="A113" s="1" t="s">
        <v>50</v>
      </c>
      <c r="B113" s="1" t="n">
        <v>68.61</v>
      </c>
      <c r="C113" s="1" t="n">
        <v>77.76</v>
      </c>
      <c r="D113" s="1" t="n">
        <v>81.95</v>
      </c>
      <c r="E113" s="1" t="n">
        <v>81.23</v>
      </c>
      <c r="F113" s="1" t="n">
        <v>77.37</v>
      </c>
      <c r="G113" s="1" t="n">
        <v>79.29</v>
      </c>
      <c r="H113" s="1" t="n">
        <f aca="false">AVERAGE(B113:G113)</f>
        <v>77.7016666666667</v>
      </c>
      <c r="K113" s="1" t="s">
        <v>212</v>
      </c>
      <c r="L113" s="1" t="n">
        <v>95.2830200195313</v>
      </c>
      <c r="M113" s="1" t="n">
        <v>96.2264175415039</v>
      </c>
      <c r="N113" s="1" t="n">
        <v>99.052131652832</v>
      </c>
      <c r="O113" s="1" t="n">
        <v>96.2264175415039</v>
      </c>
      <c r="P113" s="1" t="n">
        <v>94.3396224975586</v>
      </c>
      <c r="Q113" s="1" t="n">
        <v>93.1372528076172</v>
      </c>
      <c r="R113" s="1" t="n">
        <v>95.7108103434245</v>
      </c>
    </row>
    <row r="114" customFormat="false" ht="15.75" hidden="false" customHeight="true" outlineLevel="0" collapsed="false">
      <c r="A114" s="1" t="s">
        <v>13</v>
      </c>
      <c r="B114" s="1" t="n">
        <v>86.88</v>
      </c>
      <c r="C114" s="1" t="n">
        <v>92.81</v>
      </c>
      <c r="D114" s="1" t="n">
        <v>86.51</v>
      </c>
      <c r="E114" s="1" t="n">
        <v>86.77</v>
      </c>
      <c r="F114" s="1" t="n">
        <v>83.78</v>
      </c>
      <c r="G114" s="1" t="n">
        <v>87.09</v>
      </c>
      <c r="H114" s="1" t="n">
        <f aca="false">AVERAGE(B114:G114)</f>
        <v>87.3066666666667</v>
      </c>
      <c r="K114" s="1" t="s">
        <v>50</v>
      </c>
      <c r="L114" s="1" t="n">
        <v>77.8301849365234</v>
      </c>
      <c r="M114" s="1" t="n">
        <v>81.6037750244141</v>
      </c>
      <c r="N114" s="1" t="n">
        <v>72.511848449707</v>
      </c>
      <c r="O114" s="1" t="n">
        <v>86.7924499511719</v>
      </c>
      <c r="P114" s="1" t="n">
        <v>88.2075500488281</v>
      </c>
      <c r="Q114" s="1" t="n">
        <v>81.8627471923828</v>
      </c>
      <c r="R114" s="1" t="n">
        <v>81.4680926005046</v>
      </c>
    </row>
    <row r="115" customFormat="false" ht="15.75" hidden="false" customHeight="true" outlineLevel="0" collapsed="false">
      <c r="A115" s="1" t="s">
        <v>124</v>
      </c>
      <c r="B115" s="1" t="n">
        <v>59.62</v>
      </c>
      <c r="C115" s="1" t="n">
        <v>76.14</v>
      </c>
      <c r="D115" s="1" t="n">
        <v>84.27</v>
      </c>
      <c r="E115" s="1" t="n">
        <v>72.73</v>
      </c>
      <c r="F115" s="1" t="n">
        <v>79.28</v>
      </c>
      <c r="G115" s="1" t="n">
        <v>50.02</v>
      </c>
      <c r="H115" s="1" t="n">
        <f aca="false">AVERAGE(B115:G115)</f>
        <v>70.3433333333333</v>
      </c>
      <c r="K115" s="1" t="s">
        <v>13</v>
      </c>
      <c r="L115" s="1" t="n">
        <v>96.698112487793</v>
      </c>
      <c r="M115" s="1" t="n">
        <v>98.1132049560547</v>
      </c>
      <c r="N115" s="1" t="n">
        <v>87.6777267456055</v>
      </c>
      <c r="O115" s="1" t="n">
        <v>97.6415100097656</v>
      </c>
      <c r="P115" s="1" t="n">
        <v>99.0566024780273</v>
      </c>
      <c r="Q115" s="1" t="n">
        <v>98.0392150878906</v>
      </c>
      <c r="R115" s="1" t="n">
        <v>96.2043952941895</v>
      </c>
    </row>
    <row r="116" customFormat="false" ht="15.75" hidden="false" customHeight="true" outlineLevel="0" collapsed="false">
      <c r="A116" s="1" t="s">
        <v>161</v>
      </c>
      <c r="B116" s="1" t="n">
        <v>27.1</v>
      </c>
      <c r="C116" s="1" t="n">
        <v>34.47</v>
      </c>
      <c r="D116" s="1" t="n">
        <v>56.42</v>
      </c>
      <c r="E116" s="1" t="n">
        <v>43.05</v>
      </c>
      <c r="F116" s="1" t="n">
        <v>41.15</v>
      </c>
      <c r="G116" s="1" t="n">
        <v>45.83</v>
      </c>
      <c r="H116" s="1" t="n">
        <f aca="false">AVERAGE(B116:G116)</f>
        <v>41.3366666666667</v>
      </c>
      <c r="K116" s="1" t="s">
        <v>270</v>
      </c>
      <c r="L116" s="1" t="n">
        <v>79.2452850341797</v>
      </c>
      <c r="M116" s="1" t="n">
        <v>82.0754699707031</v>
      </c>
      <c r="N116" s="1" t="n">
        <v>88.1516571044922</v>
      </c>
      <c r="O116" s="1" t="n">
        <v>76.8867950439453</v>
      </c>
      <c r="P116" s="1" t="n">
        <v>97.6415100097656</v>
      </c>
      <c r="Q116" s="1" t="n">
        <v>33.8235282897949</v>
      </c>
      <c r="R116" s="1" t="n">
        <v>76.3040409088135</v>
      </c>
    </row>
    <row r="117" customFormat="false" ht="15.75" hidden="false" customHeight="true" outlineLevel="0" collapsed="false">
      <c r="A117" s="1" t="s">
        <v>192</v>
      </c>
      <c r="B117" s="1" t="n">
        <v>34.69</v>
      </c>
      <c r="C117" s="1" t="n">
        <v>40</v>
      </c>
      <c r="D117" s="1" t="n">
        <v>62.74</v>
      </c>
      <c r="E117" s="1" t="n">
        <v>56.39</v>
      </c>
      <c r="F117" s="1" t="n">
        <v>45.36</v>
      </c>
      <c r="G117" s="1" t="n">
        <v>57.56</v>
      </c>
      <c r="H117" s="1" t="n">
        <f aca="false">AVERAGE(B117:G117)</f>
        <v>49.4566666666667</v>
      </c>
      <c r="K117" s="1" t="s">
        <v>161</v>
      </c>
      <c r="L117" s="1" t="n">
        <v>18.3962268829346</v>
      </c>
      <c r="M117" s="1" t="n">
        <v>13.6792449951172</v>
      </c>
      <c r="N117" s="1" t="n">
        <v>19.9052124023438</v>
      </c>
      <c r="O117" s="1" t="n">
        <v>18.8679237365723</v>
      </c>
      <c r="P117" s="1" t="n">
        <v>21.2264156341553</v>
      </c>
      <c r="Q117" s="1" t="n">
        <v>37.7450981140137</v>
      </c>
      <c r="R117" s="1" t="n">
        <v>21.6366869608561</v>
      </c>
    </row>
    <row r="118" customFormat="false" ht="15.75" hidden="false" customHeight="true" outlineLevel="0" collapsed="false">
      <c r="A118" s="1" t="s">
        <v>68</v>
      </c>
      <c r="B118" s="1" t="n">
        <v>59.42</v>
      </c>
      <c r="C118" s="1" t="n">
        <v>71.93</v>
      </c>
      <c r="D118" s="1" t="n">
        <v>71.56</v>
      </c>
      <c r="E118" s="1" t="n">
        <v>65.36</v>
      </c>
      <c r="F118" s="1" t="n">
        <v>67.28</v>
      </c>
      <c r="G118" s="1" t="n">
        <v>55.78</v>
      </c>
      <c r="H118" s="1" t="n">
        <f aca="false">AVERAGE(B118:G118)</f>
        <v>65.2216666666667</v>
      </c>
      <c r="K118" s="1" t="s">
        <v>192</v>
      </c>
      <c r="L118" s="1" t="n">
        <v>29.7169818878174</v>
      </c>
      <c r="M118" s="1" t="n">
        <v>19.8113212585449</v>
      </c>
      <c r="N118" s="1" t="n">
        <v>37.9146919250488</v>
      </c>
      <c r="O118" s="1" t="n">
        <v>46.2264137268066</v>
      </c>
      <c r="P118" s="1" t="n">
        <v>22.1698112487793</v>
      </c>
      <c r="Q118" s="1" t="n">
        <v>50</v>
      </c>
      <c r="R118" s="1" t="n">
        <v>34.3065366744995</v>
      </c>
    </row>
    <row r="119" customFormat="false" ht="15.75" hidden="false" customHeight="true" outlineLevel="0" collapsed="false">
      <c r="A119" s="1" t="s">
        <v>129</v>
      </c>
      <c r="B119" s="1" t="n">
        <v>41.31</v>
      </c>
      <c r="C119" s="1" t="n">
        <v>47.41</v>
      </c>
      <c r="D119" s="1" t="n">
        <v>66.97</v>
      </c>
      <c r="E119" s="1" t="n">
        <v>58.45</v>
      </c>
      <c r="F119" s="1" t="n">
        <v>48.66</v>
      </c>
      <c r="G119" s="1" t="n">
        <v>49.31</v>
      </c>
      <c r="H119" s="1" t="n">
        <f aca="false">AVERAGE(B119:G119)</f>
        <v>52.0183333333333</v>
      </c>
      <c r="K119" s="1" t="s">
        <v>68</v>
      </c>
      <c r="L119" s="1" t="n">
        <v>61.7924537658691</v>
      </c>
      <c r="M119" s="1" t="n">
        <v>79.7169799804688</v>
      </c>
      <c r="N119" s="1" t="n">
        <v>50.7108993530273</v>
      </c>
      <c r="O119" s="1" t="n">
        <v>67.4528274536133</v>
      </c>
      <c r="P119" s="1" t="n">
        <v>73.1132049560547</v>
      </c>
      <c r="Q119" s="1" t="n">
        <v>50.9803924560547</v>
      </c>
      <c r="R119" s="1" t="n">
        <v>63.9611263275147</v>
      </c>
    </row>
    <row r="120" customFormat="false" ht="15.75" hidden="false" customHeight="true" outlineLevel="0" collapsed="false">
      <c r="A120" s="1" t="s">
        <v>271</v>
      </c>
      <c r="B120" s="1" t="n">
        <v>29.1</v>
      </c>
      <c r="C120" s="1" t="n">
        <v>24.33</v>
      </c>
      <c r="D120" s="1" t="n">
        <v>21.82</v>
      </c>
      <c r="E120" s="1" t="n">
        <v>39.08</v>
      </c>
      <c r="F120" s="1" t="n">
        <v>41.58</v>
      </c>
      <c r="G120" s="1" t="n">
        <v>34.74</v>
      </c>
      <c r="H120" s="1" t="n">
        <f aca="false">AVERAGE(B120:G120)</f>
        <v>31.775</v>
      </c>
      <c r="K120" s="1" t="s">
        <v>129</v>
      </c>
      <c r="L120" s="1" t="n">
        <v>39.6226425170898</v>
      </c>
      <c r="M120" s="1" t="n">
        <v>45.2830200195313</v>
      </c>
      <c r="N120" s="1" t="n">
        <v>62.5592422485352</v>
      </c>
      <c r="O120" s="1" t="n">
        <v>50.9433975219727</v>
      </c>
      <c r="P120" s="1" t="n">
        <v>26.4150943756104</v>
      </c>
      <c r="Q120" s="1" t="n">
        <v>41.1764717102051</v>
      </c>
      <c r="R120" s="1" t="n">
        <v>44.3333113988241</v>
      </c>
    </row>
    <row r="121" customFormat="false" ht="15.75" hidden="false" customHeight="true" outlineLevel="0" collapsed="false">
      <c r="A121" s="1" t="s">
        <v>46</v>
      </c>
      <c r="B121" s="1" t="n">
        <v>51.62</v>
      </c>
      <c r="C121" s="1" t="n">
        <v>67.96</v>
      </c>
      <c r="D121" s="1" t="n">
        <v>83.76</v>
      </c>
      <c r="E121" s="1" t="n">
        <v>69.61</v>
      </c>
      <c r="F121" s="1" t="n">
        <v>62.53</v>
      </c>
      <c r="G121" s="1" t="n">
        <v>75.7</v>
      </c>
      <c r="H121" s="1" t="n">
        <f aca="false">AVERAGE(B121:G121)</f>
        <v>68.53</v>
      </c>
      <c r="K121" s="1" t="s">
        <v>271</v>
      </c>
      <c r="L121" s="1" t="n">
        <v>21.2264156341553</v>
      </c>
      <c r="M121" s="1" t="n">
        <v>12.7358493804932</v>
      </c>
      <c r="N121" s="1" t="n">
        <v>0.473933637142181</v>
      </c>
      <c r="O121" s="1" t="n">
        <v>18.3962268829346</v>
      </c>
      <c r="P121" s="1" t="n">
        <v>25.943395614624</v>
      </c>
      <c r="Q121" s="1" t="n">
        <v>20.5882358551025</v>
      </c>
      <c r="R121" s="1" t="n">
        <v>16.5606761674086</v>
      </c>
    </row>
    <row r="122" customFormat="false" ht="15.75" hidden="false" customHeight="true" outlineLevel="0" collapsed="false">
      <c r="A122" s="1" t="s">
        <v>207</v>
      </c>
      <c r="B122" s="1" t="n">
        <v>55.2</v>
      </c>
      <c r="C122" s="1" t="n">
        <v>45.12</v>
      </c>
      <c r="D122" s="1" t="n">
        <v>92.2</v>
      </c>
      <c r="E122" s="1" t="n">
        <v>74.33</v>
      </c>
      <c r="F122" s="1" t="n">
        <v>42.91</v>
      </c>
      <c r="G122" s="1" t="n">
        <v>74.65</v>
      </c>
      <c r="H122" s="1" t="n">
        <f aca="false">AVERAGE(B122:G122)</f>
        <v>64.0683333333333</v>
      </c>
      <c r="K122" s="1" t="s">
        <v>46</v>
      </c>
      <c r="L122" s="1" t="n">
        <v>58.4905662536621</v>
      </c>
      <c r="M122" s="1" t="n">
        <v>65.5660400390625</v>
      </c>
      <c r="N122" s="1" t="n">
        <v>77.2511825561523</v>
      </c>
      <c r="O122" s="1" t="n">
        <v>75.4716949462891</v>
      </c>
      <c r="P122" s="1" t="n">
        <v>74.0566024780273</v>
      </c>
      <c r="Q122" s="1" t="n">
        <v>76.9607849121094</v>
      </c>
      <c r="R122" s="1" t="n">
        <v>71.2994785308838</v>
      </c>
    </row>
    <row r="123" customFormat="false" ht="15.75" hidden="false" customHeight="true" outlineLevel="0" collapsed="false">
      <c r="A123" s="1" t="s">
        <v>199</v>
      </c>
      <c r="B123" s="1" t="n">
        <v>59.25</v>
      </c>
      <c r="C123" s="1" t="n">
        <v>71.9</v>
      </c>
      <c r="D123" s="1" t="n">
        <v>67.96</v>
      </c>
      <c r="E123" s="1" t="n">
        <v>71.94</v>
      </c>
      <c r="F123" s="1" t="n">
        <v>66.04</v>
      </c>
      <c r="H123" s="1" t="n">
        <f aca="false">AVERAGE(B123:G123)</f>
        <v>67.418</v>
      </c>
      <c r="K123" s="1" t="s">
        <v>207</v>
      </c>
      <c r="L123" s="1" t="n">
        <v>64.1509399414063</v>
      </c>
      <c r="M123" s="1" t="n">
        <v>54.7169799804688</v>
      </c>
      <c r="N123" s="1" t="n">
        <v>93.3649291992188</v>
      </c>
      <c r="O123" s="1" t="n">
        <v>73.1132049560547</v>
      </c>
      <c r="P123" s="1" t="n">
        <v>36.3207550048828</v>
      </c>
      <c r="Q123" s="1" t="n">
        <v>86.2745132446289</v>
      </c>
      <c r="R123" s="1" t="n">
        <v>67.9902203877767</v>
      </c>
    </row>
    <row r="124" customFormat="false" ht="15.75" hidden="false" customHeight="true" outlineLevel="0" collapsed="false">
      <c r="A124" s="1" t="s">
        <v>188</v>
      </c>
      <c r="B124" s="1" t="n">
        <v>28.97</v>
      </c>
      <c r="C124" s="1" t="n">
        <v>36.85</v>
      </c>
      <c r="D124" s="1" t="n">
        <v>54.14</v>
      </c>
      <c r="E124" s="1" t="n">
        <v>45.31</v>
      </c>
      <c r="F124" s="1" t="n">
        <v>43.06</v>
      </c>
      <c r="G124" s="1" t="n">
        <v>41.17</v>
      </c>
      <c r="H124" s="1" t="n">
        <f aca="false">AVERAGE(B124:G124)</f>
        <v>41.5833333333333</v>
      </c>
      <c r="K124" s="1" t="s">
        <v>199</v>
      </c>
      <c r="L124" s="1" t="n">
        <v>70.7547149658203</v>
      </c>
      <c r="M124" s="1" t="n">
        <v>73.1132049560547</v>
      </c>
      <c r="N124" s="1" t="n">
        <v>61.6113739013672</v>
      </c>
      <c r="O124" s="1" t="n">
        <v>75</v>
      </c>
      <c r="P124" s="1" t="n">
        <v>79.2452850341797</v>
      </c>
      <c r="R124" s="1" t="n">
        <v>71.9449157714844</v>
      </c>
    </row>
    <row r="125" customFormat="false" ht="15.75" hidden="false" customHeight="true" outlineLevel="0" collapsed="false">
      <c r="A125" s="1" t="s">
        <v>72</v>
      </c>
      <c r="B125" s="1" t="n">
        <v>55.96</v>
      </c>
      <c r="C125" s="1" t="n">
        <v>69.94</v>
      </c>
      <c r="D125" s="1" t="n">
        <v>81.93</v>
      </c>
      <c r="E125" s="1" t="n">
        <v>69.77</v>
      </c>
      <c r="F125" s="1" t="n">
        <v>71.54</v>
      </c>
      <c r="G125" s="1" t="n">
        <v>68.84</v>
      </c>
      <c r="H125" s="1" t="n">
        <f aca="false">AVERAGE(B125:G125)</f>
        <v>69.6633333333333</v>
      </c>
      <c r="K125" s="1" t="s">
        <v>188</v>
      </c>
      <c r="L125" s="1" t="n">
        <v>22.6415100097656</v>
      </c>
      <c r="M125" s="1" t="n">
        <v>24.5283012390137</v>
      </c>
      <c r="N125" s="1" t="n">
        <v>26.0663509368897</v>
      </c>
      <c r="O125" s="1" t="n">
        <v>27.3584899902344</v>
      </c>
      <c r="P125" s="1" t="n">
        <v>15.0943393707275</v>
      </c>
      <c r="Q125" s="1" t="n">
        <v>30.3921566009522</v>
      </c>
      <c r="R125" s="1" t="n">
        <v>24.3468580245972</v>
      </c>
    </row>
    <row r="126" customFormat="false" ht="15.75" hidden="false" customHeight="true" outlineLevel="0" collapsed="false">
      <c r="A126" s="1" t="s">
        <v>73</v>
      </c>
      <c r="B126" s="1" t="n">
        <v>29.03</v>
      </c>
      <c r="C126" s="1" t="n">
        <v>48.65</v>
      </c>
      <c r="D126" s="1" t="n">
        <v>54.95</v>
      </c>
      <c r="E126" s="1" t="n">
        <v>39.38</v>
      </c>
      <c r="F126" s="1" t="n">
        <v>51.47</v>
      </c>
      <c r="G126" s="1" t="n">
        <v>52.55</v>
      </c>
      <c r="H126" s="1" t="n">
        <f aca="false">AVERAGE(B126:G126)</f>
        <v>46.005</v>
      </c>
      <c r="K126" s="1" t="s">
        <v>72</v>
      </c>
      <c r="L126" s="1" t="n">
        <v>65.5660400390625</v>
      </c>
      <c r="M126" s="1" t="n">
        <v>75</v>
      </c>
      <c r="N126" s="1" t="n">
        <v>74.8815155029297</v>
      </c>
      <c r="O126" s="1" t="n">
        <v>77.8301849365234</v>
      </c>
      <c r="P126" s="1" t="n">
        <v>82.5471725463867</v>
      </c>
      <c r="Q126" s="1" t="n">
        <v>66.6666641235352</v>
      </c>
      <c r="R126" s="1" t="n">
        <v>73.7485961914063</v>
      </c>
    </row>
    <row r="127" customFormat="false" ht="15.75" hidden="false" customHeight="true" outlineLevel="0" collapsed="false">
      <c r="A127" s="1" t="s">
        <v>272</v>
      </c>
      <c r="B127" s="1" t="n">
        <v>61.57</v>
      </c>
      <c r="C127" s="1" t="n">
        <v>50.85</v>
      </c>
      <c r="D127" s="1" t="n">
        <v>92.2</v>
      </c>
      <c r="E127" s="1" t="n">
        <v>74.63</v>
      </c>
      <c r="F127" s="1" t="n">
        <v>42.12</v>
      </c>
      <c r="G127" s="1" t="n">
        <v>74.33</v>
      </c>
      <c r="H127" s="1" t="n">
        <f aca="false">AVERAGE(B127:G127)</f>
        <v>65.95</v>
      </c>
      <c r="K127" s="1" t="s">
        <v>73</v>
      </c>
      <c r="L127" s="1" t="n">
        <v>17.4528293609619</v>
      </c>
      <c r="M127" s="1" t="n">
        <v>43.3962249755859</v>
      </c>
      <c r="N127" s="1" t="n">
        <v>22.748815536499</v>
      </c>
      <c r="O127" s="1" t="n">
        <v>24.056604385376</v>
      </c>
      <c r="P127" s="1" t="n">
        <v>46.2264137268066</v>
      </c>
      <c r="Q127" s="1" t="n">
        <v>42.1568641662598</v>
      </c>
      <c r="R127" s="1" t="n">
        <v>32.6729586919149</v>
      </c>
    </row>
    <row r="128" customFormat="false" ht="15.75" hidden="false" customHeight="true" outlineLevel="0" collapsed="false">
      <c r="A128" s="1" t="s">
        <v>74</v>
      </c>
      <c r="B128" s="1" t="n">
        <v>42.92</v>
      </c>
      <c r="C128" s="1" t="n">
        <v>56.73</v>
      </c>
      <c r="D128" s="1" t="n">
        <v>63.64</v>
      </c>
      <c r="E128" s="1" t="n">
        <v>56.12</v>
      </c>
      <c r="F128" s="1" t="n">
        <v>54.59</v>
      </c>
      <c r="G128" s="1" t="n">
        <v>62.54</v>
      </c>
      <c r="H128" s="1" t="n">
        <f aca="false">AVERAGE(B128:G128)</f>
        <v>56.09</v>
      </c>
      <c r="K128" s="1" t="s">
        <v>272</v>
      </c>
      <c r="L128" s="1" t="n">
        <v>78.301887512207</v>
      </c>
      <c r="M128" s="1" t="n">
        <v>59.4339637756348</v>
      </c>
      <c r="N128" s="1" t="n">
        <v>89.5734634399414</v>
      </c>
      <c r="O128" s="1" t="n">
        <v>72.1698150634766</v>
      </c>
      <c r="P128" s="1" t="n">
        <v>30.6603775024414</v>
      </c>
      <c r="Q128" s="1" t="n">
        <v>83.8235321044922</v>
      </c>
      <c r="R128" s="1" t="n">
        <v>68.9938398996989</v>
      </c>
    </row>
    <row r="129" customFormat="false" ht="15.75" hidden="false" customHeight="true" outlineLevel="0" collapsed="false">
      <c r="A129" s="1" t="s">
        <v>174</v>
      </c>
      <c r="B129" s="1" t="n">
        <v>71.84</v>
      </c>
      <c r="C129" s="1" t="n">
        <v>87.62</v>
      </c>
      <c r="D129" s="1" t="n">
        <v>87.57</v>
      </c>
      <c r="E129" s="1" t="n">
        <v>85.8</v>
      </c>
      <c r="F129" s="1" t="n">
        <v>82.41</v>
      </c>
      <c r="G129" s="1" t="n">
        <v>74.93</v>
      </c>
      <c r="H129" s="1" t="n">
        <f aca="false">AVERAGE(B129:G129)</f>
        <v>81.695</v>
      </c>
      <c r="K129" s="1" t="s">
        <v>74</v>
      </c>
      <c r="L129" s="1" t="n">
        <v>46.698112487793</v>
      </c>
      <c r="M129" s="1" t="n">
        <v>44.3396224975586</v>
      </c>
      <c r="N129" s="1" t="n">
        <v>20.3791465759277</v>
      </c>
      <c r="O129" s="1" t="n">
        <v>47.1698112487793</v>
      </c>
      <c r="P129" s="1" t="n">
        <v>54.7169799804688</v>
      </c>
      <c r="Q129" s="1" t="n">
        <v>55.8823547363281</v>
      </c>
      <c r="R129" s="1" t="n">
        <v>44.8643379211426</v>
      </c>
    </row>
    <row r="130" customFormat="false" ht="15.75" hidden="false" customHeight="true" outlineLevel="0" collapsed="false">
      <c r="A130" s="1" t="s">
        <v>147</v>
      </c>
      <c r="B130" s="1" t="n">
        <v>38.99</v>
      </c>
      <c r="C130" s="1" t="n">
        <v>48.14</v>
      </c>
      <c r="D130" s="1" t="n">
        <v>75.54</v>
      </c>
      <c r="E130" s="1" t="n">
        <v>56.72</v>
      </c>
      <c r="F130" s="1" t="n">
        <v>54.65</v>
      </c>
      <c r="G130" s="1" t="n">
        <v>62.04</v>
      </c>
      <c r="H130" s="1" t="n">
        <f aca="false">AVERAGE(B130:G130)</f>
        <v>56.0133333333333</v>
      </c>
      <c r="K130" s="1" t="s">
        <v>174</v>
      </c>
      <c r="L130" s="1" t="n">
        <v>87.7358474731445</v>
      </c>
      <c r="M130" s="1" t="n">
        <v>99.0566024780273</v>
      </c>
      <c r="N130" s="1" t="n">
        <v>93.3649291992188</v>
      </c>
      <c r="O130" s="1" t="n">
        <v>91.5094375610352</v>
      </c>
      <c r="P130" s="1" t="n">
        <v>89.6226425170898</v>
      </c>
      <c r="Q130" s="1" t="n">
        <v>69.6078414916992</v>
      </c>
      <c r="R130" s="1" t="n">
        <v>88.4828834533691</v>
      </c>
    </row>
    <row r="131" customFormat="false" ht="15.75" hidden="false" customHeight="true" outlineLevel="0" collapsed="false">
      <c r="A131" s="1" t="s">
        <v>64</v>
      </c>
      <c r="B131" s="1" t="n">
        <v>49.57</v>
      </c>
      <c r="C131" s="1" t="n">
        <v>61.98</v>
      </c>
      <c r="D131" s="1" t="n">
        <v>73.46</v>
      </c>
      <c r="E131" s="1" t="n">
        <v>62.06</v>
      </c>
      <c r="F131" s="1" t="n">
        <v>59.1</v>
      </c>
      <c r="G131" s="1" t="n">
        <v>65.04</v>
      </c>
      <c r="H131" s="1" t="n">
        <f aca="false">AVERAGE(B131:G131)</f>
        <v>61.8683333333333</v>
      </c>
      <c r="K131" s="1" t="s">
        <v>147</v>
      </c>
      <c r="L131" s="1" t="n">
        <v>35.3773574829102</v>
      </c>
      <c r="M131" s="1" t="n">
        <v>33.9622650146484</v>
      </c>
      <c r="N131" s="1" t="n">
        <v>67.2985763549805</v>
      </c>
      <c r="O131" s="1" t="n">
        <v>43.8679237365723</v>
      </c>
      <c r="P131" s="1" t="n">
        <v>45.7547187805176</v>
      </c>
      <c r="Q131" s="1" t="n">
        <v>56.3725471496582</v>
      </c>
      <c r="R131" s="1" t="n">
        <v>47.1055647532145</v>
      </c>
    </row>
    <row r="132" customFormat="false" ht="15.75" hidden="false" customHeight="true" outlineLevel="0" collapsed="false">
      <c r="A132" s="1" t="s">
        <v>94</v>
      </c>
      <c r="B132" s="1" t="n">
        <v>37.9</v>
      </c>
      <c r="C132" s="1" t="n">
        <v>55.96</v>
      </c>
      <c r="D132" s="1" t="n">
        <v>56.1</v>
      </c>
      <c r="E132" s="1" t="n">
        <v>53.01</v>
      </c>
      <c r="F132" s="1" t="n">
        <v>55.19</v>
      </c>
      <c r="G132" s="1" t="n">
        <v>45.02</v>
      </c>
      <c r="H132" s="1" t="n">
        <f aca="false">AVERAGE(B132:G132)</f>
        <v>50.53</v>
      </c>
      <c r="K132" s="1" t="s">
        <v>64</v>
      </c>
      <c r="L132" s="1" t="n">
        <v>51.8867912292481</v>
      </c>
      <c r="M132" s="1" t="n">
        <v>59.9056587219238</v>
      </c>
      <c r="N132" s="1" t="n">
        <v>48.8151664733887</v>
      </c>
      <c r="O132" s="1" t="n">
        <v>52.3584899902344</v>
      </c>
      <c r="P132" s="1" t="n">
        <v>64.1509399414063</v>
      </c>
      <c r="Q132" s="1" t="n">
        <v>58.3333320617676</v>
      </c>
      <c r="R132" s="1" t="n">
        <v>55.9083964029948</v>
      </c>
    </row>
    <row r="133" customFormat="false" ht="15.75" hidden="false" customHeight="true" outlineLevel="0" collapsed="false">
      <c r="A133" s="1" t="s">
        <v>149</v>
      </c>
      <c r="B133" s="1" t="n">
        <v>25.95</v>
      </c>
      <c r="C133" s="1" t="n">
        <v>35.8</v>
      </c>
      <c r="D133" s="1" t="n">
        <v>36.59</v>
      </c>
      <c r="E133" s="1" t="n">
        <v>39.23</v>
      </c>
      <c r="F133" s="1" t="n">
        <v>42.41</v>
      </c>
      <c r="G133" s="1" t="n">
        <v>41.18</v>
      </c>
      <c r="H133" s="1" t="n">
        <f aca="false">AVERAGE(B133:G133)</f>
        <v>36.86</v>
      </c>
      <c r="K133" s="1" t="s">
        <v>94</v>
      </c>
      <c r="L133" s="1" t="n">
        <v>33.0188674926758</v>
      </c>
      <c r="M133" s="1" t="n">
        <v>50</v>
      </c>
      <c r="N133" s="1" t="n">
        <v>29.8578205108643</v>
      </c>
      <c r="O133" s="1" t="n">
        <v>48.5849075317383</v>
      </c>
      <c r="P133" s="1" t="n">
        <v>50.9433975219727</v>
      </c>
      <c r="Q133" s="1" t="n">
        <v>34.3137245178223</v>
      </c>
      <c r="R133" s="1" t="n">
        <v>41.1197862625122</v>
      </c>
    </row>
    <row r="134" customFormat="false" ht="15.75" hidden="false" customHeight="true" outlineLevel="0" collapsed="false">
      <c r="A134" s="1" t="s">
        <v>151</v>
      </c>
      <c r="B134" s="1" t="n">
        <v>21.71</v>
      </c>
      <c r="C134" s="1" t="n">
        <v>19.23</v>
      </c>
      <c r="D134" s="1" t="n">
        <v>28.53</v>
      </c>
      <c r="E134" s="1" t="n">
        <v>29.49</v>
      </c>
      <c r="F134" s="1" t="n">
        <v>30.44</v>
      </c>
      <c r="G134" s="1" t="n">
        <v>19.36</v>
      </c>
      <c r="H134" s="1" t="n">
        <f aca="false">AVERAGE(B134:G134)</f>
        <v>24.7933333333333</v>
      </c>
      <c r="K134" s="1" t="s">
        <v>149</v>
      </c>
      <c r="L134" s="1" t="n">
        <v>22.1698112487793</v>
      </c>
      <c r="M134" s="1" t="n">
        <v>25.943395614624</v>
      </c>
      <c r="N134" s="1" t="n">
        <v>11.8483409881592</v>
      </c>
      <c r="O134" s="1" t="n">
        <v>17.4528293609619</v>
      </c>
      <c r="P134" s="1" t="n">
        <v>24.5283012390137</v>
      </c>
      <c r="Q134" s="1" t="n">
        <v>31.8627452850342</v>
      </c>
      <c r="R134" s="1" t="n">
        <v>22.3009039560954</v>
      </c>
    </row>
    <row r="135" customFormat="false" ht="15.75" hidden="false" customHeight="true" outlineLevel="0" collapsed="false">
      <c r="A135" s="1" t="s">
        <v>146</v>
      </c>
      <c r="B135" s="1" t="n">
        <v>51.03</v>
      </c>
      <c r="C135" s="1" t="n">
        <v>54.4</v>
      </c>
      <c r="D135" s="1" t="n">
        <v>78.59</v>
      </c>
      <c r="E135" s="1" t="n">
        <v>64.83</v>
      </c>
      <c r="F135" s="1" t="n">
        <v>56.74</v>
      </c>
      <c r="G135" s="1" t="n">
        <v>64.58</v>
      </c>
      <c r="H135" s="1" t="n">
        <f aca="false">AVERAGE(B135:G135)</f>
        <v>61.695</v>
      </c>
      <c r="K135" s="1" t="s">
        <v>151</v>
      </c>
      <c r="L135" s="1" t="n">
        <v>11.7924528121948</v>
      </c>
      <c r="M135" s="1" t="n">
        <v>3.77358484268189</v>
      </c>
      <c r="N135" s="1" t="n">
        <v>4.7393364906311</v>
      </c>
      <c r="O135" s="1" t="n">
        <v>6.13207530975342</v>
      </c>
      <c r="P135" s="1" t="n">
        <v>7.07547187805176</v>
      </c>
      <c r="Q135" s="1" t="n">
        <v>2.45098042488098</v>
      </c>
      <c r="R135" s="1" t="n">
        <v>5.99398362636566</v>
      </c>
    </row>
    <row r="136" customFormat="false" ht="15.75" hidden="false" customHeight="true" outlineLevel="0" collapsed="false">
      <c r="A136" s="1" t="s">
        <v>110</v>
      </c>
      <c r="B136" s="1" t="n">
        <v>32.45</v>
      </c>
      <c r="C136" s="1" t="n">
        <v>36.59</v>
      </c>
      <c r="D136" s="1" t="n">
        <v>57.84</v>
      </c>
      <c r="E136" s="1" t="n">
        <v>53.58</v>
      </c>
      <c r="F136" s="1" t="n">
        <v>44.25</v>
      </c>
      <c r="G136" s="1" t="n">
        <v>54.64</v>
      </c>
      <c r="H136" s="1" t="n">
        <f aca="false">AVERAGE(B136:G136)</f>
        <v>46.5583333333333</v>
      </c>
      <c r="K136" s="1" t="s">
        <v>146</v>
      </c>
      <c r="L136" s="1" t="n">
        <v>58.9622650146484</v>
      </c>
      <c r="M136" s="1" t="n">
        <v>52.8301887512207</v>
      </c>
      <c r="N136" s="1" t="n">
        <v>63.5071105957031</v>
      </c>
      <c r="O136" s="1" t="n">
        <v>64.6226425170898</v>
      </c>
      <c r="P136" s="1" t="n">
        <v>51.4150924682617</v>
      </c>
      <c r="Q136" s="1" t="n">
        <v>66.1764678955078</v>
      </c>
      <c r="R136" s="1" t="n">
        <v>59.5856278737386</v>
      </c>
    </row>
    <row r="137" customFormat="false" ht="15.75" hidden="false" customHeight="true" outlineLevel="0" collapsed="false">
      <c r="A137" s="1" t="s">
        <v>21</v>
      </c>
      <c r="B137" s="1" t="n">
        <v>85.85</v>
      </c>
      <c r="C137" s="1" t="n">
        <v>87.96</v>
      </c>
      <c r="D137" s="1" t="n">
        <v>74.97</v>
      </c>
      <c r="E137" s="1" t="n">
        <v>86.2</v>
      </c>
      <c r="F137" s="1" t="n">
        <v>80.24</v>
      </c>
      <c r="G137" s="1" t="n">
        <v>86.84</v>
      </c>
      <c r="H137" s="1" t="n">
        <f aca="false">AVERAGE(B137:G137)</f>
        <v>83.6766666666667</v>
      </c>
      <c r="K137" s="1" t="s">
        <v>273</v>
      </c>
      <c r="L137" s="1" t="n">
        <v>69.8113174438477</v>
      </c>
      <c r="M137" s="1" t="n">
        <v>48.5849075317383</v>
      </c>
      <c r="N137" s="1" t="n">
        <v>82.9383850097656</v>
      </c>
      <c r="O137" s="1" t="n">
        <v>53.301887512207</v>
      </c>
      <c r="P137" s="1" t="n">
        <v>52.3584899902344</v>
      </c>
      <c r="Q137" s="1" t="n">
        <v>68.6274490356445</v>
      </c>
      <c r="R137" s="1" t="n">
        <v>62.6037394205729</v>
      </c>
    </row>
    <row r="138" customFormat="false" ht="15.75" hidden="false" customHeight="true" outlineLevel="0" collapsed="false">
      <c r="A138" s="1" t="s">
        <v>202</v>
      </c>
      <c r="B138" s="1" t="n">
        <v>50.81</v>
      </c>
      <c r="D138" s="1" t="n">
        <v>70.73</v>
      </c>
      <c r="E138" s="1" t="n">
        <v>62.87</v>
      </c>
      <c r="G138" s="1" t="n">
        <v>58.99</v>
      </c>
      <c r="H138" s="1" t="n">
        <f aca="false">AVERAGE(B138:G138)</f>
        <v>60.85</v>
      </c>
      <c r="K138" s="1" t="s">
        <v>110</v>
      </c>
      <c r="L138" s="1" t="n">
        <v>33.9622650146484</v>
      </c>
      <c r="M138" s="1" t="n">
        <v>21.698112487793</v>
      </c>
      <c r="N138" s="1" t="n">
        <v>39.3364944458008</v>
      </c>
      <c r="O138" s="1" t="n">
        <v>34.9056587219238</v>
      </c>
      <c r="P138" s="1" t="n">
        <v>27.3584899902344</v>
      </c>
      <c r="Q138" s="1" t="n">
        <v>46.0784301757813</v>
      </c>
      <c r="R138" s="1" t="n">
        <v>33.8899084726969</v>
      </c>
    </row>
    <row r="139" customFormat="false" ht="15.75" hidden="false" customHeight="true" outlineLevel="0" collapsed="false">
      <c r="A139" s="1" t="s">
        <v>35</v>
      </c>
      <c r="B139" s="1" t="n">
        <v>86.1</v>
      </c>
      <c r="C139" s="1" t="n">
        <v>90.68</v>
      </c>
      <c r="D139" s="1" t="n">
        <v>86.31</v>
      </c>
      <c r="E139" s="1" t="n">
        <v>85.92</v>
      </c>
      <c r="F139" s="1" t="n">
        <v>87.41</v>
      </c>
      <c r="G139" s="1" t="n">
        <v>87.27</v>
      </c>
      <c r="H139" s="1" t="n">
        <f aca="false">AVERAGE(B139:G139)</f>
        <v>87.2816666666667</v>
      </c>
      <c r="K139" s="1" t="s">
        <v>21</v>
      </c>
      <c r="L139" s="1" t="n">
        <v>96.2264175415039</v>
      </c>
      <c r="M139" s="1" t="n">
        <v>95.7547149658203</v>
      </c>
      <c r="N139" s="1" t="n">
        <v>68.7203826904297</v>
      </c>
      <c r="O139" s="1" t="n">
        <v>94.3396224975586</v>
      </c>
      <c r="P139" s="1" t="n">
        <v>97.1698150634766</v>
      </c>
      <c r="Q139" s="1" t="n">
        <v>96.5686264038086</v>
      </c>
      <c r="R139" s="1" t="n">
        <v>91.4632631937663</v>
      </c>
    </row>
    <row r="140" customFormat="false" ht="15.75" hidden="false" customHeight="true" outlineLevel="0" collapsed="false">
      <c r="A140" s="1" t="s">
        <v>153</v>
      </c>
      <c r="B140" s="1" t="n">
        <v>20.21</v>
      </c>
      <c r="C140" s="1" t="n">
        <v>34.05</v>
      </c>
      <c r="D140" s="1" t="n">
        <v>65.43</v>
      </c>
      <c r="E140" s="1" t="n">
        <v>32.49</v>
      </c>
      <c r="F140" s="1" t="n">
        <v>39.26</v>
      </c>
      <c r="G140" s="1" t="n">
        <v>25.39</v>
      </c>
      <c r="H140" s="1" t="n">
        <f aca="false">AVERAGE(B140:G140)</f>
        <v>36.1383333333333</v>
      </c>
      <c r="K140" s="1" t="s">
        <v>274</v>
      </c>
    </row>
    <row r="141" customFormat="false" ht="15.75" hidden="false" customHeight="true" outlineLevel="0" collapsed="false">
      <c r="A141" s="1" t="s">
        <v>209</v>
      </c>
      <c r="B141" s="1" t="n">
        <v>33.18</v>
      </c>
      <c r="C141" s="1" t="n">
        <v>34.65</v>
      </c>
      <c r="D141" s="1" t="n">
        <v>34.63</v>
      </c>
      <c r="E141" s="1" t="n">
        <v>40.06</v>
      </c>
      <c r="F141" s="1" t="n">
        <v>42.31</v>
      </c>
      <c r="G141" s="1" t="n">
        <v>36.75</v>
      </c>
      <c r="H141" s="1" t="n">
        <f aca="false">AVERAGE(B141:G141)</f>
        <v>36.93</v>
      </c>
      <c r="K141" s="1" t="s">
        <v>35</v>
      </c>
      <c r="L141" s="1" t="n">
        <v>98.5849075317383</v>
      </c>
      <c r="M141" s="1" t="n">
        <v>92.4528274536133</v>
      </c>
      <c r="N141" s="1" t="n">
        <v>96.2085342407227</v>
      </c>
      <c r="O141" s="1" t="n">
        <v>95.7547149658203</v>
      </c>
      <c r="P141" s="1" t="n">
        <v>98.5849075317383</v>
      </c>
      <c r="Q141" s="1" t="n">
        <v>99.5098037719727</v>
      </c>
      <c r="R141" s="1" t="n">
        <v>96.8492825826009</v>
      </c>
    </row>
    <row r="142" customFormat="false" ht="15.75" hidden="false" customHeight="true" outlineLevel="0" collapsed="false">
      <c r="A142" s="1" t="s">
        <v>160</v>
      </c>
      <c r="B142" s="1" t="n">
        <v>26.5</v>
      </c>
      <c r="C142" s="1" t="n">
        <v>33.65</v>
      </c>
      <c r="D142" s="1" t="n">
        <v>35.14</v>
      </c>
      <c r="E142" s="1" t="n">
        <v>42.95</v>
      </c>
      <c r="F142" s="1" t="n">
        <v>44.38</v>
      </c>
      <c r="G142" s="1" t="n">
        <v>45.6</v>
      </c>
      <c r="H142" s="1" t="n">
        <f aca="false">AVERAGE(B142:G142)</f>
        <v>38.0366666666667</v>
      </c>
      <c r="K142" s="1" t="s">
        <v>153</v>
      </c>
      <c r="L142" s="1" t="n">
        <v>7.07547187805176</v>
      </c>
      <c r="M142" s="1" t="n">
        <v>13.2075471878052</v>
      </c>
      <c r="N142" s="1" t="n">
        <v>42.1800956726074</v>
      </c>
      <c r="O142" s="1" t="n">
        <v>9.43396186828613</v>
      </c>
      <c r="P142" s="1" t="n">
        <v>20.2830181121826</v>
      </c>
      <c r="Q142" s="1" t="n">
        <v>10.2941179275513</v>
      </c>
      <c r="R142" s="1" t="n">
        <v>17.0790354410807</v>
      </c>
    </row>
    <row r="143" customFormat="false" ht="15.75" hidden="false" customHeight="true" outlineLevel="0" collapsed="false">
      <c r="A143" s="1" t="s">
        <v>275</v>
      </c>
      <c r="B143" s="1" t="n">
        <v>38.93</v>
      </c>
      <c r="C143" s="1" t="n">
        <v>37.87</v>
      </c>
      <c r="D143" s="1" t="n">
        <v>83.34</v>
      </c>
      <c r="E143" s="1" t="n">
        <v>57.69</v>
      </c>
      <c r="F143" s="1" t="n">
        <v>44.78</v>
      </c>
      <c r="G143" s="1" t="n">
        <v>54.11</v>
      </c>
      <c r="H143" s="1" t="n">
        <f aca="false">AVERAGE(B143:G143)</f>
        <v>52.7866666666667</v>
      </c>
      <c r="K143" s="1" t="s">
        <v>209</v>
      </c>
      <c r="L143" s="1" t="n">
        <v>31.6037731170654</v>
      </c>
      <c r="M143" s="1" t="n">
        <v>28.7735843658447</v>
      </c>
      <c r="N143" s="1" t="n">
        <v>8.53080558776856</v>
      </c>
      <c r="O143" s="1" t="n">
        <v>25</v>
      </c>
      <c r="P143" s="1" t="n">
        <v>20.754716873169</v>
      </c>
      <c r="Q143" s="1" t="n">
        <v>29.9019603729248</v>
      </c>
      <c r="R143" s="1" t="n">
        <v>24.0941400527954</v>
      </c>
    </row>
    <row r="144" customFormat="false" ht="15.75" hidden="false" customHeight="true" outlineLevel="0" collapsed="false">
      <c r="A144" s="1" t="s">
        <v>187</v>
      </c>
      <c r="B144" s="1" t="n">
        <v>16.73</v>
      </c>
      <c r="C144" s="1" t="n">
        <v>25.24</v>
      </c>
      <c r="D144" s="1" t="n">
        <v>67.07</v>
      </c>
      <c r="E144" s="1" t="n">
        <v>34.14</v>
      </c>
      <c r="F144" s="1" t="n">
        <v>21.27</v>
      </c>
      <c r="G144" s="1" t="n">
        <v>18.72</v>
      </c>
      <c r="H144" s="1" t="n">
        <f aca="false">AVERAGE(B144:G144)</f>
        <v>30.5283333333333</v>
      </c>
      <c r="K144" s="1" t="s">
        <v>160</v>
      </c>
      <c r="L144" s="1" t="n">
        <v>16.9811325073242</v>
      </c>
      <c r="M144" s="1" t="n">
        <v>20.2830181121826</v>
      </c>
      <c r="N144" s="1" t="n">
        <v>7.5829381942749</v>
      </c>
      <c r="O144" s="1" t="n">
        <v>20.2830181121826</v>
      </c>
      <c r="P144" s="1" t="n">
        <v>16.9811325073242</v>
      </c>
      <c r="Q144" s="1" t="n">
        <v>32.3529396057129</v>
      </c>
      <c r="R144" s="1" t="n">
        <v>19.0773631731669</v>
      </c>
    </row>
    <row r="145" customFormat="false" ht="15.75" hidden="false" customHeight="true" outlineLevel="0" collapsed="false">
      <c r="A145" s="1" t="s">
        <v>79</v>
      </c>
      <c r="B145" s="1" t="n">
        <v>42.04</v>
      </c>
      <c r="C145" s="1" t="n">
        <v>56.37</v>
      </c>
      <c r="D145" s="1" t="n">
        <v>72.18</v>
      </c>
      <c r="E145" s="1" t="n">
        <v>56.3</v>
      </c>
      <c r="F145" s="1" t="n">
        <v>63.32</v>
      </c>
      <c r="G145" s="1" t="n">
        <v>61.28</v>
      </c>
      <c r="H145" s="1" t="n">
        <f aca="false">AVERAGE(B145:G145)</f>
        <v>58.5816666666667</v>
      </c>
      <c r="K145" s="1" t="s">
        <v>275</v>
      </c>
      <c r="L145" s="1" t="n">
        <v>49.0566024780273</v>
      </c>
      <c r="M145" s="1" t="n">
        <v>83.9622650146484</v>
      </c>
      <c r="O145" s="1" t="n">
        <v>31.1320762634277</v>
      </c>
      <c r="P145" s="1" t="n">
        <v>55.1886787414551</v>
      </c>
      <c r="R145" s="1" t="n">
        <v>54.8349056243897</v>
      </c>
    </row>
    <row r="146" customFormat="false" ht="15.75" hidden="false" customHeight="true" outlineLevel="0" collapsed="false">
      <c r="A146" s="1" t="s">
        <v>16</v>
      </c>
      <c r="B146" s="1" t="n">
        <v>86.98</v>
      </c>
      <c r="C146" s="1" t="n">
        <v>90</v>
      </c>
      <c r="D146" s="1" t="n">
        <v>84.52</v>
      </c>
      <c r="E146" s="1" t="n">
        <v>90.61</v>
      </c>
      <c r="F146" s="1" t="n">
        <v>82.79</v>
      </c>
      <c r="G146" s="1" t="n">
        <v>91.21</v>
      </c>
      <c r="H146" s="1" t="n">
        <f aca="false">AVERAGE(B146:G146)</f>
        <v>87.685</v>
      </c>
      <c r="K146" s="1" t="s">
        <v>79</v>
      </c>
      <c r="L146" s="1" t="n">
        <v>42.4528312683106</v>
      </c>
      <c r="M146" s="1" t="n">
        <v>49.0566024780273</v>
      </c>
      <c r="N146" s="1" t="n">
        <v>51.1848335266113</v>
      </c>
      <c r="O146" s="1" t="n">
        <v>45.2830200195313</v>
      </c>
      <c r="P146" s="1" t="n">
        <v>66.0377349853516</v>
      </c>
      <c r="Q146" s="1" t="n">
        <v>53.4313735961914</v>
      </c>
      <c r="R146" s="1" t="n">
        <v>51.2410659790039</v>
      </c>
    </row>
    <row r="147" customFormat="false" ht="15.75" hidden="false" customHeight="true" outlineLevel="0" collapsed="false">
      <c r="A147" s="1" t="s">
        <v>37</v>
      </c>
      <c r="B147" s="1" t="n">
        <v>58.19</v>
      </c>
      <c r="C147" s="1" t="n">
        <v>60.13</v>
      </c>
      <c r="D147" s="1" t="n">
        <v>76.04</v>
      </c>
      <c r="E147" s="1" t="n">
        <v>66.9</v>
      </c>
      <c r="F147" s="1" t="n">
        <v>67.42</v>
      </c>
      <c r="G147" s="1" t="n">
        <v>37.37</v>
      </c>
      <c r="H147" s="1" t="n">
        <f aca="false">AVERAGE(B147:G147)</f>
        <v>61.0083333333333</v>
      </c>
      <c r="K147" s="1" t="s">
        <v>16</v>
      </c>
      <c r="L147" s="1" t="n">
        <v>99.0566024780273</v>
      </c>
      <c r="M147" s="1" t="n">
        <v>97.6415100097656</v>
      </c>
      <c r="N147" s="1" t="n">
        <v>77.7251205444336</v>
      </c>
      <c r="O147" s="1" t="n">
        <v>99.0566024780273</v>
      </c>
      <c r="P147" s="1" t="n">
        <v>93.3962249755859</v>
      </c>
      <c r="Q147" s="1" t="n">
        <v>100</v>
      </c>
      <c r="R147" s="1" t="n">
        <v>94.4793434143066</v>
      </c>
    </row>
    <row r="148" customFormat="false" ht="15.75" hidden="false" customHeight="true" outlineLevel="0" collapsed="false">
      <c r="A148" s="1" t="s">
        <v>111</v>
      </c>
      <c r="B148" s="1" t="n">
        <v>26.49</v>
      </c>
      <c r="C148" s="1" t="n">
        <v>39.94</v>
      </c>
      <c r="D148" s="1" t="n">
        <v>31.43</v>
      </c>
      <c r="E148" s="1" t="n">
        <v>41.06</v>
      </c>
      <c r="F148" s="1" t="n">
        <v>39.69</v>
      </c>
      <c r="G148" s="1" t="n">
        <v>37.02</v>
      </c>
      <c r="H148" s="1" t="n">
        <f aca="false">AVERAGE(B148:G148)</f>
        <v>35.9383333333333</v>
      </c>
      <c r="K148" s="1" t="s">
        <v>37</v>
      </c>
      <c r="L148" s="1" t="n">
        <v>60.8490562438965</v>
      </c>
      <c r="M148" s="1" t="n">
        <v>62.2641525268555</v>
      </c>
      <c r="N148" s="1" t="n">
        <v>65.8767776489258</v>
      </c>
      <c r="O148" s="1" t="n">
        <v>70.2830200195313</v>
      </c>
      <c r="P148" s="1" t="n">
        <v>66.5094375610352</v>
      </c>
      <c r="Q148" s="1" t="n">
        <v>21.0784320831299</v>
      </c>
      <c r="R148" s="1" t="n">
        <v>57.8101460138957</v>
      </c>
    </row>
    <row r="149" customFormat="false" ht="15.75" hidden="false" customHeight="true" outlineLevel="0" collapsed="false">
      <c r="A149" s="1" t="s">
        <v>223</v>
      </c>
      <c r="B149" s="1" t="n">
        <v>58.4</v>
      </c>
      <c r="C149" s="1" t="n">
        <v>54.47</v>
      </c>
      <c r="D149" s="1" t="n">
        <v>88.37</v>
      </c>
      <c r="E149" s="1" t="n">
        <v>77.93</v>
      </c>
      <c r="F149" s="1" t="n">
        <v>63.16</v>
      </c>
      <c r="G149" s="1" t="n">
        <v>76.35</v>
      </c>
      <c r="H149" s="1" t="n">
        <f aca="false">AVERAGE(B149:G149)</f>
        <v>69.78</v>
      </c>
      <c r="K149" s="1" t="s">
        <v>111</v>
      </c>
      <c r="L149" s="1" t="n">
        <v>18.8679237365723</v>
      </c>
      <c r="M149" s="1" t="n">
        <v>30.6603775024414</v>
      </c>
      <c r="N149" s="1" t="n">
        <v>6.63507127761841</v>
      </c>
      <c r="O149" s="1" t="n">
        <v>21.2264156341553</v>
      </c>
      <c r="P149" s="1" t="n">
        <v>19.8113212585449</v>
      </c>
      <c r="Q149" s="1" t="n">
        <v>23.0392150878906</v>
      </c>
      <c r="R149" s="1" t="n">
        <v>20.0400540828705</v>
      </c>
    </row>
    <row r="150" customFormat="false" ht="15.75" hidden="false" customHeight="true" outlineLevel="0" collapsed="false">
      <c r="A150" s="1" t="s">
        <v>184</v>
      </c>
      <c r="B150" s="1" t="n">
        <v>36.26</v>
      </c>
      <c r="C150" s="1" t="n">
        <v>25.38</v>
      </c>
      <c r="D150" s="1" t="n">
        <v>32.13</v>
      </c>
      <c r="E150" s="1" t="n">
        <v>42.79</v>
      </c>
      <c r="F150" s="1" t="n">
        <v>48.5</v>
      </c>
      <c r="G150" s="1" t="n">
        <v>35.9</v>
      </c>
      <c r="H150" s="1" t="n">
        <f aca="false">AVERAGE(B150:G150)</f>
        <v>36.8266666666667</v>
      </c>
      <c r="K150" s="1" t="s">
        <v>223</v>
      </c>
      <c r="L150" s="1" t="n">
        <v>69.8113174438477</v>
      </c>
      <c r="M150" s="1" t="n">
        <v>67.4528274536133</v>
      </c>
      <c r="N150" s="1" t="n">
        <v>89.5734634399414</v>
      </c>
      <c r="O150" s="1" t="n">
        <v>80.6603775024414</v>
      </c>
      <c r="P150" s="1" t="n">
        <v>65.0943374633789</v>
      </c>
      <c r="Q150" s="1" t="n">
        <v>83.8235321044922</v>
      </c>
      <c r="R150" s="1" t="n">
        <v>76.0693092346191</v>
      </c>
    </row>
    <row r="151" customFormat="false" ht="15.75" hidden="false" customHeight="true" outlineLevel="0" collapsed="false">
      <c r="A151" s="1" t="s">
        <v>70</v>
      </c>
      <c r="B151" s="1" t="n">
        <v>36.8</v>
      </c>
      <c r="C151" s="1" t="n">
        <v>56.78</v>
      </c>
      <c r="D151" s="1" t="n">
        <v>69.87</v>
      </c>
      <c r="E151" s="1" t="n">
        <v>53.64</v>
      </c>
      <c r="F151" s="1" t="n">
        <v>53.41</v>
      </c>
      <c r="G151" s="1" t="n">
        <v>66.5</v>
      </c>
      <c r="H151" s="1" t="n">
        <f aca="false">AVERAGE(B151:G151)</f>
        <v>56.1666666666667</v>
      </c>
      <c r="K151" s="1" t="s">
        <v>70</v>
      </c>
      <c r="L151" s="1" t="n">
        <v>28.301887512207</v>
      </c>
      <c r="M151" s="1" t="n">
        <v>42.9245300292969</v>
      </c>
      <c r="N151" s="1" t="n">
        <v>52.6066360473633</v>
      </c>
      <c r="O151" s="1" t="n">
        <v>40.0943412780762</v>
      </c>
      <c r="P151" s="1" t="n">
        <v>55.6603775024414</v>
      </c>
      <c r="Q151" s="1" t="n">
        <v>64.2156829833984</v>
      </c>
      <c r="R151" s="1" t="n">
        <v>47.3005758921305</v>
      </c>
    </row>
    <row r="152" customFormat="false" ht="15.75" hidden="false" customHeight="true" outlineLevel="0" collapsed="false">
      <c r="A152" s="1" t="s">
        <v>128</v>
      </c>
      <c r="B152" s="1" t="n">
        <v>32.33</v>
      </c>
      <c r="C152" s="1" t="n">
        <v>37.8</v>
      </c>
      <c r="D152" s="1" t="n">
        <v>56.04</v>
      </c>
      <c r="E152" s="1" t="n">
        <v>49.2</v>
      </c>
      <c r="F152" s="1" t="n">
        <v>44.93</v>
      </c>
      <c r="G152" s="1" t="n">
        <v>53.4</v>
      </c>
      <c r="H152" s="1" t="n">
        <f aca="false">AVERAGE(B152:G152)</f>
        <v>45.6166666666667</v>
      </c>
      <c r="K152" s="1" t="s">
        <v>128</v>
      </c>
      <c r="L152" s="1" t="n">
        <v>27.3584899902344</v>
      </c>
      <c r="M152" s="1" t="n">
        <v>22.1698112487793</v>
      </c>
      <c r="N152" s="1" t="n">
        <v>27.014217376709</v>
      </c>
      <c r="O152" s="1" t="n">
        <v>29.7169818878174</v>
      </c>
      <c r="P152" s="1" t="n">
        <v>27.8301887512207</v>
      </c>
      <c r="Q152" s="1" t="n">
        <v>47.0588226318359</v>
      </c>
      <c r="R152" s="1" t="n">
        <v>30.1914186477661</v>
      </c>
    </row>
    <row r="153" customFormat="false" ht="15.75" hidden="false" customHeight="true" outlineLevel="0" collapsed="false">
      <c r="A153" s="1" t="s">
        <v>154</v>
      </c>
      <c r="B153" s="1" t="n">
        <v>27.73</v>
      </c>
      <c r="C153" s="1" t="n">
        <v>47.68</v>
      </c>
      <c r="D153" s="1" t="n">
        <v>68.04</v>
      </c>
      <c r="E153" s="1" t="n">
        <v>48.23</v>
      </c>
      <c r="F153" s="1" t="n">
        <v>54.99</v>
      </c>
      <c r="G153" s="1" t="n">
        <v>55.24</v>
      </c>
      <c r="H153" s="1" t="n">
        <f aca="false">AVERAGE(B153:G153)</f>
        <v>50.3183333333333</v>
      </c>
      <c r="K153" s="1" t="s">
        <v>154</v>
      </c>
      <c r="L153" s="1" t="n">
        <v>16.0377349853516</v>
      </c>
      <c r="M153" s="1" t="n">
        <v>34.4339637756348</v>
      </c>
      <c r="N153" s="1" t="n">
        <v>49.2891006469727</v>
      </c>
      <c r="O153" s="1" t="n">
        <v>28.7735843658447</v>
      </c>
      <c r="P153" s="1" t="n">
        <v>50.4716987609863</v>
      </c>
      <c r="Q153" s="1" t="n">
        <v>48.529411315918</v>
      </c>
      <c r="R153" s="1" t="n">
        <v>37.9225823084513</v>
      </c>
    </row>
    <row r="154" customFormat="false" ht="15.75" hidden="false" customHeight="true" outlineLevel="0" collapsed="false">
      <c r="A154" s="1" t="s">
        <v>85</v>
      </c>
      <c r="B154" s="1" t="n">
        <v>32.81</v>
      </c>
      <c r="C154" s="1" t="n">
        <v>49.4</v>
      </c>
      <c r="D154" s="1" t="n">
        <v>56.91</v>
      </c>
      <c r="E154" s="1" t="n">
        <v>47.78</v>
      </c>
      <c r="F154" s="1" t="n">
        <v>57.55</v>
      </c>
      <c r="G154" s="1" t="n">
        <v>56.73</v>
      </c>
      <c r="H154" s="1" t="n">
        <f aca="false">AVERAGE(B154:G154)</f>
        <v>50.1966666666667</v>
      </c>
      <c r="K154" s="1" t="s">
        <v>85</v>
      </c>
      <c r="L154" s="1" t="n">
        <v>25.4716987609863</v>
      </c>
      <c r="M154" s="1" t="n">
        <v>33.0188674926758</v>
      </c>
      <c r="N154" s="1" t="n">
        <v>24.1706161499023</v>
      </c>
      <c r="O154" s="1" t="n">
        <v>30.1886787414551</v>
      </c>
      <c r="P154" s="1" t="n">
        <v>60.3773574829102</v>
      </c>
      <c r="Q154" s="1" t="n">
        <v>49.5098037719727</v>
      </c>
      <c r="R154" s="1" t="n">
        <v>37.1228370666504</v>
      </c>
    </row>
    <row r="155" customFormat="false" ht="15.75" hidden="false" customHeight="true" outlineLevel="0" collapsed="false">
      <c r="A155" s="1" t="s">
        <v>102</v>
      </c>
      <c r="B155" s="1" t="n">
        <v>36.47</v>
      </c>
      <c r="C155" s="1" t="n">
        <v>56.33</v>
      </c>
      <c r="D155" s="1" t="n">
        <v>50.97</v>
      </c>
      <c r="E155" s="1" t="n">
        <v>50.87</v>
      </c>
      <c r="F155" s="1" t="n">
        <v>58.46</v>
      </c>
      <c r="G155" s="1" t="n">
        <v>53.03</v>
      </c>
      <c r="H155" s="1" t="n">
        <f aca="false">AVERAGE(B155:G155)</f>
        <v>51.0216666666667</v>
      </c>
      <c r="K155" s="1" t="s">
        <v>102</v>
      </c>
      <c r="L155" s="1" t="n">
        <v>32.5471687316895</v>
      </c>
      <c r="M155" s="1" t="n">
        <v>58.0188674926758</v>
      </c>
      <c r="N155" s="1" t="n">
        <v>23.6966819763184</v>
      </c>
      <c r="O155" s="1" t="n">
        <v>37.2641525268555</v>
      </c>
      <c r="P155" s="1" t="n">
        <v>57.5471687316895</v>
      </c>
      <c r="Q155" s="1" t="n">
        <v>46.5686264038086</v>
      </c>
      <c r="R155" s="1" t="n">
        <v>42.6071109771729</v>
      </c>
    </row>
    <row r="156" customFormat="false" ht="15.75" hidden="false" customHeight="true" outlineLevel="0" collapsed="false">
      <c r="A156" s="1" t="s">
        <v>51</v>
      </c>
      <c r="B156" s="1" t="n">
        <v>65.16</v>
      </c>
      <c r="C156" s="1" t="n">
        <v>68.64</v>
      </c>
      <c r="D156" s="1" t="n">
        <v>77.76</v>
      </c>
      <c r="E156" s="1" t="n">
        <v>68.01</v>
      </c>
      <c r="F156" s="1" t="n">
        <v>69.07</v>
      </c>
      <c r="G156" s="1" t="n">
        <v>72.75</v>
      </c>
      <c r="H156" s="1" t="n">
        <f aca="false">AVERAGE(B156:G156)</f>
        <v>70.2316666666667</v>
      </c>
      <c r="K156" s="1" t="s">
        <v>51</v>
      </c>
      <c r="L156" s="1" t="n">
        <v>68.8679275512695</v>
      </c>
      <c r="M156" s="1" t="n">
        <v>66.5094375610352</v>
      </c>
      <c r="N156" s="1" t="n">
        <v>63.9810409545898</v>
      </c>
      <c r="O156" s="1" t="n">
        <v>65.0943374633789</v>
      </c>
      <c r="P156" s="1" t="n">
        <v>76.4150924682617</v>
      </c>
      <c r="Q156" s="1" t="n">
        <v>67.6470565795898</v>
      </c>
      <c r="R156" s="1" t="n">
        <v>68.0858154296875</v>
      </c>
    </row>
    <row r="157" customFormat="false" ht="15.75" hidden="false" customHeight="true" outlineLevel="0" collapsed="false">
      <c r="A157" s="1" t="s">
        <v>54</v>
      </c>
      <c r="B157" s="1" t="n">
        <v>63.62</v>
      </c>
      <c r="C157" s="1" t="n">
        <v>73.26</v>
      </c>
      <c r="D157" s="1" t="n">
        <v>77.91</v>
      </c>
      <c r="E157" s="1" t="n">
        <v>75.88</v>
      </c>
      <c r="F157" s="1" t="n">
        <v>65.15</v>
      </c>
      <c r="G157" s="1" t="n">
        <v>81.06</v>
      </c>
      <c r="H157" s="1" t="n">
        <f aca="false">AVERAGE(B157:G157)</f>
        <v>72.8133333333333</v>
      </c>
      <c r="K157" s="1" t="s">
        <v>54</v>
      </c>
      <c r="L157" s="1" t="n">
        <v>74.0566024780273</v>
      </c>
      <c r="M157" s="1" t="n">
        <v>80.1886825561523</v>
      </c>
      <c r="N157" s="1" t="n">
        <v>70.6161117553711</v>
      </c>
      <c r="O157" s="1" t="n">
        <v>83.4905624389648</v>
      </c>
      <c r="P157" s="1" t="n">
        <v>75.4716949462891</v>
      </c>
      <c r="Q157" s="1" t="n">
        <v>88.2352905273438</v>
      </c>
      <c r="R157" s="1" t="n">
        <v>78.6764907836914</v>
      </c>
    </row>
    <row r="158" customFormat="false" ht="15.75" hidden="false" customHeight="true" outlineLevel="0" collapsed="false">
      <c r="A158" s="1" t="s">
        <v>36</v>
      </c>
      <c r="B158" s="1" t="n">
        <v>58.98</v>
      </c>
      <c r="C158" s="1" t="n">
        <v>43.66</v>
      </c>
      <c r="D158" s="1" t="n">
        <v>72.01</v>
      </c>
      <c r="E158" s="1" t="n">
        <v>67.96</v>
      </c>
      <c r="F158" s="1" t="n">
        <v>60.33</v>
      </c>
      <c r="G158" s="1" t="n">
        <v>64.89</v>
      </c>
      <c r="H158" s="1" t="n">
        <f aca="false">AVERAGE(B158:G158)</f>
        <v>61.305</v>
      </c>
      <c r="K158" s="1" t="s">
        <v>36</v>
      </c>
      <c r="L158" s="1" t="n">
        <v>55.1886787414551</v>
      </c>
      <c r="M158" s="1" t="n">
        <v>35.8490562438965</v>
      </c>
      <c r="N158" s="1" t="n">
        <v>61.1374397277832</v>
      </c>
      <c r="O158" s="1" t="n">
        <v>66.5094375610352</v>
      </c>
      <c r="P158" s="1" t="n">
        <v>71.698112487793</v>
      </c>
      <c r="Q158" s="1" t="n">
        <v>61.764705657959</v>
      </c>
      <c r="R158" s="1" t="n">
        <v>58.6912384033203</v>
      </c>
    </row>
    <row r="159" customFormat="false" ht="15.75" hidden="false" customHeight="true" outlineLevel="0" collapsed="false">
      <c r="A159" s="1" t="s">
        <v>19</v>
      </c>
      <c r="B159" s="1" t="n">
        <v>65.81</v>
      </c>
      <c r="C159" s="1" t="n">
        <v>72.73</v>
      </c>
      <c r="D159" s="1" t="n">
        <v>83.86</v>
      </c>
      <c r="E159" s="1" t="n">
        <v>67.91</v>
      </c>
      <c r="F159" s="1" t="n">
        <v>72.67</v>
      </c>
      <c r="G159" s="1" t="n">
        <v>33.92</v>
      </c>
      <c r="H159" s="1" t="n">
        <f aca="false">AVERAGE(B159:G159)</f>
        <v>66.15</v>
      </c>
      <c r="K159" s="1" t="s">
        <v>19</v>
      </c>
      <c r="L159" s="1" t="n">
        <v>75</v>
      </c>
      <c r="M159" s="1" t="n">
        <v>85.8490600585938</v>
      </c>
      <c r="N159" s="1" t="n">
        <v>84.3601913452148</v>
      </c>
      <c r="O159" s="1" t="n">
        <v>80.1886825561523</v>
      </c>
      <c r="P159" s="1" t="n">
        <v>81.1320724487305</v>
      </c>
      <c r="Q159" s="1" t="n">
        <v>22.5490188598633</v>
      </c>
      <c r="R159" s="1" t="n">
        <v>71.5131708780925</v>
      </c>
    </row>
    <row r="160" customFormat="false" ht="15.75" hidden="false" customHeight="true" outlineLevel="0" collapsed="false">
      <c r="A160" s="1" t="s">
        <v>276</v>
      </c>
      <c r="B160" s="1" t="n">
        <v>57.25</v>
      </c>
      <c r="C160" s="1" t="n">
        <v>53.97</v>
      </c>
      <c r="D160" s="1" t="n">
        <v>86.95</v>
      </c>
      <c r="E160" s="1" t="n">
        <v>63.1</v>
      </c>
      <c r="F160" s="1" t="n">
        <v>45.58</v>
      </c>
      <c r="G160" s="1" t="n">
        <v>67.64</v>
      </c>
      <c r="H160" s="1" t="n">
        <f aca="false">AVERAGE(B160:G160)</f>
        <v>62.415</v>
      </c>
      <c r="K160" s="1" t="s">
        <v>65</v>
      </c>
      <c r="L160" s="1" t="n">
        <v>56.1320762634277</v>
      </c>
      <c r="M160" s="1" t="n">
        <v>46.698112487793</v>
      </c>
      <c r="N160" s="1" t="n">
        <v>56.3981056213379</v>
      </c>
      <c r="O160" s="1" t="n">
        <v>64.1509399414063</v>
      </c>
      <c r="P160" s="1" t="n">
        <v>63.2075462341309</v>
      </c>
      <c r="Q160" s="1" t="n">
        <v>62.2549018859863</v>
      </c>
      <c r="R160" s="1" t="n">
        <v>58.1402804056803</v>
      </c>
    </row>
    <row r="161" customFormat="false" ht="15.75" hidden="false" customHeight="true" outlineLevel="0" collapsed="false">
      <c r="A161" s="1" t="s">
        <v>65</v>
      </c>
      <c r="B161" s="1" t="n">
        <v>47.99</v>
      </c>
      <c r="C161" s="1" t="n">
        <v>59.94</v>
      </c>
      <c r="D161" s="1" t="n">
        <v>69.23</v>
      </c>
      <c r="E161" s="1" t="n">
        <v>63.53</v>
      </c>
      <c r="F161" s="1" t="n">
        <v>60.12</v>
      </c>
      <c r="G161" s="1" t="n">
        <v>65.81</v>
      </c>
      <c r="H161" s="1" t="n">
        <f aca="false">AVERAGE(B161:G161)</f>
        <v>61.1033333333333</v>
      </c>
      <c r="K161" s="1" t="s">
        <v>66</v>
      </c>
      <c r="L161" s="1" t="n">
        <v>15.5660381317139</v>
      </c>
      <c r="M161" s="1" t="n">
        <v>26.4150943756104</v>
      </c>
      <c r="N161" s="1" t="n">
        <v>13.2701425552368</v>
      </c>
      <c r="O161" s="1" t="n">
        <v>12.2641506195068</v>
      </c>
      <c r="P161" s="1" t="n">
        <v>12.7358493804932</v>
      </c>
      <c r="Q161" s="1" t="n">
        <v>13.235294342041</v>
      </c>
      <c r="R161" s="1" t="n">
        <v>15.581094900767</v>
      </c>
    </row>
    <row r="162" customFormat="false" ht="15.75" hidden="false" customHeight="true" outlineLevel="0" collapsed="false">
      <c r="A162" s="1" t="s">
        <v>66</v>
      </c>
      <c r="B162" s="1" t="n">
        <v>28.21</v>
      </c>
      <c r="C162" s="1" t="n">
        <v>42.09</v>
      </c>
      <c r="D162" s="1" t="n">
        <v>49.05</v>
      </c>
      <c r="E162" s="1" t="n">
        <v>37.66</v>
      </c>
      <c r="F162" s="1" t="n">
        <v>34.92</v>
      </c>
      <c r="G162" s="1" t="n">
        <v>31.29</v>
      </c>
      <c r="H162" s="1" t="n">
        <f aca="false">AVERAGE(B162:G162)</f>
        <v>37.2033333333333</v>
      </c>
      <c r="K162" s="1" t="s">
        <v>155</v>
      </c>
      <c r="L162" s="1" t="n">
        <v>73.1132049560547</v>
      </c>
      <c r="M162" s="1" t="n">
        <v>65.0943374633789</v>
      </c>
      <c r="N162" s="1" t="n">
        <v>49.7630348205566</v>
      </c>
      <c r="O162" s="1" t="n">
        <v>56.6037750244141</v>
      </c>
      <c r="P162" s="1" t="n">
        <v>56.1320762634277</v>
      </c>
      <c r="Q162" s="1" t="n">
        <v>24.5098037719727</v>
      </c>
      <c r="R162" s="1" t="n">
        <v>54.2027053833008</v>
      </c>
    </row>
    <row r="163" customFormat="false" ht="15.75" hidden="false" customHeight="true" outlineLevel="0" collapsed="false">
      <c r="A163" s="1" t="s">
        <v>155</v>
      </c>
      <c r="B163" s="1" t="n">
        <v>60.88</v>
      </c>
      <c r="C163" s="1" t="n">
        <v>59.74</v>
      </c>
      <c r="D163" s="1" t="n">
        <v>67.75</v>
      </c>
      <c r="E163" s="1" t="n">
        <v>60.25</v>
      </c>
      <c r="F163" s="1" t="n">
        <v>59.88</v>
      </c>
      <c r="G163" s="1" t="n">
        <v>43.75</v>
      </c>
      <c r="H163" s="1" t="n">
        <f aca="false">AVERAGE(B163:G163)</f>
        <v>58.7083333333333</v>
      </c>
      <c r="K163" s="1" t="s">
        <v>277</v>
      </c>
      <c r="L163" s="1" t="n">
        <v>70.7547149658203</v>
      </c>
      <c r="M163" s="1" t="n">
        <v>73.1132049560547</v>
      </c>
      <c r="N163" s="1" t="n">
        <v>48.3412322998047</v>
      </c>
      <c r="O163" s="1" t="n">
        <v>75</v>
      </c>
      <c r="P163" s="1" t="n">
        <v>79.2452850341797</v>
      </c>
      <c r="R163" s="1" t="n">
        <v>69.2908874511719</v>
      </c>
    </row>
    <row r="164" customFormat="false" ht="15.75" hidden="false" customHeight="true" outlineLevel="0" collapsed="false">
      <c r="A164" s="1" t="s">
        <v>277</v>
      </c>
      <c r="B164" s="1" t="n">
        <v>59.25</v>
      </c>
      <c r="C164" s="1" t="n">
        <v>71.9</v>
      </c>
      <c r="D164" s="1" t="n">
        <v>67.74</v>
      </c>
      <c r="E164" s="1" t="n">
        <v>66.92</v>
      </c>
      <c r="F164" s="1" t="n">
        <v>66.04</v>
      </c>
      <c r="H164" s="1" t="n">
        <f aca="false">AVERAGE(B164:G164)</f>
        <v>66.37</v>
      </c>
      <c r="K164" s="1" t="s">
        <v>218</v>
      </c>
      <c r="L164" s="1" t="n">
        <v>75.9433975219727</v>
      </c>
      <c r="M164" s="1" t="n">
        <v>68.8679275512695</v>
      </c>
      <c r="N164" s="1" t="n">
        <v>90.5213241577148</v>
      </c>
      <c r="O164" s="1" t="n">
        <v>79.7169799804688</v>
      </c>
      <c r="P164" s="1" t="n">
        <v>42.9245300292969</v>
      </c>
      <c r="Q164" s="1" t="n">
        <v>80.8823547363281</v>
      </c>
      <c r="R164" s="1" t="n">
        <v>73.1427523295085</v>
      </c>
    </row>
    <row r="165" customFormat="false" ht="15.75" hidden="false" customHeight="true" outlineLevel="0" collapsed="false">
      <c r="A165" s="1" t="s">
        <v>218</v>
      </c>
      <c r="B165" s="1" t="n">
        <v>61.32</v>
      </c>
      <c r="C165" s="1" t="n">
        <v>56.49</v>
      </c>
      <c r="D165" s="1" t="n">
        <v>89</v>
      </c>
      <c r="E165" s="1" t="n">
        <v>76.11</v>
      </c>
      <c r="F165" s="1" t="n">
        <v>54.2</v>
      </c>
      <c r="G165" s="1" t="n">
        <v>74.53</v>
      </c>
      <c r="H165" s="1" t="n">
        <f aca="false">AVERAGE(B165:G165)</f>
        <v>68.6083333333333</v>
      </c>
      <c r="K165" s="1" t="s">
        <v>178</v>
      </c>
      <c r="L165" s="1" t="n">
        <v>87.7358474731445</v>
      </c>
      <c r="M165" s="1" t="n">
        <v>87.2641525268555</v>
      </c>
      <c r="N165" s="1" t="n">
        <v>93.3649291992188</v>
      </c>
      <c r="O165" s="1" t="n">
        <v>91.5094375610352</v>
      </c>
      <c r="P165" s="1" t="n">
        <v>79.2452850341797</v>
      </c>
      <c r="Q165" s="1" t="n">
        <v>89.7058792114258</v>
      </c>
      <c r="R165" s="1" t="n">
        <v>88.1375885009766</v>
      </c>
    </row>
    <row r="166" customFormat="false" ht="15.75" hidden="false" customHeight="true" outlineLevel="0" collapsed="false">
      <c r="A166" s="1" t="s">
        <v>178</v>
      </c>
      <c r="B166" s="1" t="n">
        <v>71.84</v>
      </c>
      <c r="C166" s="1" t="n">
        <v>70.09</v>
      </c>
      <c r="D166" s="1" t="n">
        <v>90.6</v>
      </c>
      <c r="E166" s="1" t="n">
        <v>82.44</v>
      </c>
      <c r="F166" s="1" t="n">
        <v>70.13</v>
      </c>
      <c r="G166" s="1" t="n">
        <v>80.49</v>
      </c>
      <c r="H166" s="1" t="n">
        <f aca="false">AVERAGE(B166:G166)</f>
        <v>77.5983333333333</v>
      </c>
      <c r="K166" s="1" t="s">
        <v>44</v>
      </c>
      <c r="L166" s="1" t="n">
        <v>66.5094375610352</v>
      </c>
      <c r="M166" s="1" t="n">
        <v>78.7735824584961</v>
      </c>
      <c r="N166" s="1" t="n">
        <v>39.8104248046875</v>
      </c>
      <c r="O166" s="1" t="n">
        <v>62.7358474731445</v>
      </c>
      <c r="P166" s="1" t="n">
        <v>68.8679275512695</v>
      </c>
      <c r="Q166" s="1" t="n">
        <v>8.82352924346924</v>
      </c>
      <c r="R166" s="1" t="n">
        <v>54.253458182017</v>
      </c>
    </row>
    <row r="167" customFormat="false" ht="15.75" hidden="false" customHeight="true" outlineLevel="0" collapsed="false">
      <c r="A167" s="1" t="s">
        <v>44</v>
      </c>
      <c r="B167" s="1" t="n">
        <v>64.29</v>
      </c>
      <c r="C167" s="1" t="n">
        <v>67.48</v>
      </c>
      <c r="D167" s="1" t="n">
        <v>65.91</v>
      </c>
      <c r="E167" s="1" t="n">
        <v>63.14</v>
      </c>
      <c r="F167" s="1" t="n">
        <v>67.02</v>
      </c>
      <c r="G167" s="1" t="n">
        <v>25.99</v>
      </c>
      <c r="H167" s="1" t="n">
        <f aca="false">AVERAGE(B167:G167)</f>
        <v>58.9716666666667</v>
      </c>
      <c r="K167" s="1" t="s">
        <v>131</v>
      </c>
      <c r="L167" s="1" t="n">
        <v>56.6037750244141</v>
      </c>
      <c r="M167" s="1" t="n">
        <v>54.2452812194824</v>
      </c>
      <c r="N167" s="1" t="n">
        <v>41.2322273254395</v>
      </c>
      <c r="O167" s="1" t="n">
        <v>42.9245300292969</v>
      </c>
      <c r="P167" s="1" t="n">
        <v>39.1509437561035</v>
      </c>
      <c r="Q167" s="1" t="n">
        <v>51.9607849121094</v>
      </c>
      <c r="R167" s="1" t="n">
        <v>47.6862570444743</v>
      </c>
    </row>
    <row r="168" customFormat="false" ht="15.75" hidden="false" customHeight="true" outlineLevel="0" collapsed="false">
      <c r="A168" s="1" t="s">
        <v>131</v>
      </c>
      <c r="B168" s="1" t="n">
        <v>51.07</v>
      </c>
      <c r="C168" s="1" t="n">
        <v>57.47</v>
      </c>
      <c r="D168" s="1" t="n">
        <v>62.69</v>
      </c>
      <c r="E168" s="1" t="n">
        <v>55.46</v>
      </c>
      <c r="F168" s="1" t="n">
        <v>50.97</v>
      </c>
      <c r="G168" s="1" t="n">
        <v>60.67</v>
      </c>
      <c r="H168" s="1" t="n">
        <f aca="false">AVERAGE(B168:G168)</f>
        <v>56.3883333333333</v>
      </c>
      <c r="K168" s="1" t="s">
        <v>67</v>
      </c>
      <c r="L168" s="1" t="n">
        <v>38.2075462341309</v>
      </c>
      <c r="M168" s="1" t="n">
        <v>51.8867912292481</v>
      </c>
      <c r="N168" s="1" t="n">
        <v>44.5497627258301</v>
      </c>
      <c r="O168" s="1" t="n">
        <v>51.4150924682617</v>
      </c>
      <c r="P168" s="1" t="n">
        <v>56.6037750244141</v>
      </c>
      <c r="Q168" s="1" t="n">
        <v>44.6078414916992</v>
      </c>
      <c r="R168" s="1" t="n">
        <v>47.8784681955973</v>
      </c>
    </row>
    <row r="169" customFormat="false" ht="15.75" hidden="false" customHeight="true" outlineLevel="0" collapsed="false">
      <c r="A169" s="1" t="s">
        <v>67</v>
      </c>
      <c r="B169" s="1" t="n">
        <v>35.9</v>
      </c>
      <c r="C169" s="1" t="n">
        <v>53.02</v>
      </c>
      <c r="D169" s="1" t="n">
        <v>59.94</v>
      </c>
      <c r="E169" s="1" t="n">
        <v>53.34</v>
      </c>
      <c r="F169" s="1" t="n">
        <v>56.48</v>
      </c>
      <c r="G169" s="1" t="n">
        <v>50.12</v>
      </c>
      <c r="H169" s="1" t="n">
        <f aca="false">AVERAGE(B169:G169)</f>
        <v>51.4666666666667</v>
      </c>
      <c r="K169" s="1" t="s">
        <v>123</v>
      </c>
      <c r="L169" s="1" t="n">
        <v>93.8679275512695</v>
      </c>
      <c r="M169" s="1" t="n">
        <v>70.7547149658203</v>
      </c>
      <c r="N169" s="1" t="n">
        <v>73.9336471557617</v>
      </c>
      <c r="O169" s="1" t="n">
        <v>63.6792449951172</v>
      </c>
      <c r="P169" s="1" t="n">
        <v>58.9622650146484</v>
      </c>
      <c r="Q169" s="1" t="n">
        <v>64.7058792114258</v>
      </c>
      <c r="R169" s="1" t="n">
        <v>70.9839464823405</v>
      </c>
    </row>
    <row r="170" customFormat="false" ht="15.75" hidden="false" customHeight="true" outlineLevel="0" collapsed="false">
      <c r="A170" s="1" t="s">
        <v>123</v>
      </c>
      <c r="B170" s="1" t="n">
        <v>72.77</v>
      </c>
      <c r="C170" s="1" t="n">
        <v>68.01</v>
      </c>
      <c r="D170" s="1" t="n">
        <v>86.14</v>
      </c>
      <c r="E170" s="1" t="n">
        <v>68.15</v>
      </c>
      <c r="F170" s="1" t="n">
        <v>60.92</v>
      </c>
      <c r="G170" s="1" t="n">
        <v>70.16</v>
      </c>
      <c r="H170" s="1" t="n">
        <f aca="false">AVERAGE(B170:G170)</f>
        <v>71.025</v>
      </c>
      <c r="K170" s="1" t="s">
        <v>196</v>
      </c>
      <c r="L170" s="1" t="n">
        <v>31.1320762634277</v>
      </c>
      <c r="M170" s="1" t="n">
        <v>12.2641506195068</v>
      </c>
      <c r="N170" s="1" t="n">
        <v>37.4407577514648</v>
      </c>
      <c r="O170" s="1" t="n">
        <v>22.1698112487793</v>
      </c>
      <c r="P170" s="1" t="n">
        <v>13.6792449951172</v>
      </c>
      <c r="Q170" s="1" t="n">
        <v>38.7254905700684</v>
      </c>
      <c r="R170" s="1" t="n">
        <v>25.9019219080607</v>
      </c>
    </row>
    <row r="171" customFormat="false" ht="15.75" hidden="false" customHeight="true" outlineLevel="0" collapsed="false">
      <c r="A171" s="1" t="s">
        <v>196</v>
      </c>
      <c r="B171" s="1" t="n">
        <v>32.23</v>
      </c>
      <c r="C171" s="1" t="n">
        <v>33.3</v>
      </c>
      <c r="D171" s="1" t="n">
        <v>58.79</v>
      </c>
      <c r="E171" s="1" t="n">
        <v>44.74</v>
      </c>
      <c r="F171" s="1" t="n">
        <v>36.5</v>
      </c>
      <c r="G171" s="1" t="n">
        <v>49.16</v>
      </c>
      <c r="H171" s="1" t="n">
        <f aca="false">AVERAGE(B171:G171)</f>
        <v>42.4533333333333</v>
      </c>
      <c r="K171" s="1" t="s">
        <v>15</v>
      </c>
      <c r="L171" s="1" t="n">
        <v>98.1132049560547</v>
      </c>
      <c r="M171" s="1" t="n">
        <v>100</v>
      </c>
      <c r="N171" s="1" t="n">
        <v>97.1563949584961</v>
      </c>
      <c r="O171" s="1" t="n">
        <v>98.1132049560547</v>
      </c>
      <c r="P171" s="1" t="n">
        <v>100</v>
      </c>
      <c r="Q171" s="1" t="n">
        <v>43.6274528503418</v>
      </c>
      <c r="R171" s="1" t="n">
        <v>89.5017096201579</v>
      </c>
    </row>
    <row r="172" customFormat="false" ht="15.75" hidden="false" customHeight="true" outlineLevel="0" collapsed="false">
      <c r="A172" s="1" t="s">
        <v>15</v>
      </c>
      <c r="B172" s="1" t="n">
        <v>87.83</v>
      </c>
      <c r="C172" s="1" t="n">
        <v>95.17</v>
      </c>
      <c r="D172" s="1" t="n">
        <v>88.99</v>
      </c>
      <c r="E172" s="1" t="n">
        <v>83.17</v>
      </c>
      <c r="F172" s="1" t="n">
        <v>91.87</v>
      </c>
      <c r="G172" s="1" t="n">
        <v>54.56</v>
      </c>
      <c r="H172" s="1" t="n">
        <f aca="false">AVERAGE(B172:G172)</f>
        <v>83.5983333333333</v>
      </c>
      <c r="K172" s="1" t="s">
        <v>56</v>
      </c>
      <c r="L172" s="1" t="n">
        <v>61.3207550048828</v>
      </c>
      <c r="M172" s="1" t="n">
        <v>58.9622650146484</v>
      </c>
      <c r="N172" s="1" t="n">
        <v>64.4549789428711</v>
      </c>
      <c r="O172" s="1" t="n">
        <v>68.8679275512695</v>
      </c>
      <c r="P172" s="1" t="n">
        <v>71.2264175415039</v>
      </c>
      <c r="Q172" s="1" t="n">
        <v>76.470588684082</v>
      </c>
      <c r="R172" s="1" t="n">
        <v>66.8838221232096</v>
      </c>
    </row>
    <row r="173" customFormat="false" ht="15.75" hidden="false" customHeight="true" outlineLevel="0" collapsed="false">
      <c r="A173" s="1" t="s">
        <v>56</v>
      </c>
      <c r="B173" s="1" t="n">
        <v>49.17</v>
      </c>
      <c r="C173" s="1" t="n">
        <v>64.25</v>
      </c>
      <c r="D173" s="1" t="n">
        <v>77.29</v>
      </c>
      <c r="E173" s="1" t="n">
        <v>66.05</v>
      </c>
      <c r="F173" s="1" t="n">
        <v>62.04</v>
      </c>
      <c r="G173" s="1" t="n">
        <v>73.28</v>
      </c>
      <c r="H173" s="1" t="n">
        <f aca="false">AVERAGE(B173:G173)</f>
        <v>65.3466666666667</v>
      </c>
      <c r="K173" s="1" t="s">
        <v>49</v>
      </c>
      <c r="L173" s="1" t="n">
        <v>77.3584899902344</v>
      </c>
      <c r="M173" s="1" t="n">
        <v>81.1320724487305</v>
      </c>
      <c r="N173" s="1" t="n">
        <v>75.8293838500977</v>
      </c>
      <c r="O173" s="1" t="n">
        <v>82.5471725463867</v>
      </c>
      <c r="P173" s="1" t="n">
        <v>75</v>
      </c>
      <c r="Q173" s="1" t="n">
        <v>82.8431396484375</v>
      </c>
      <c r="R173" s="1" t="n">
        <v>79.1183764139811</v>
      </c>
    </row>
    <row r="174" customFormat="false" ht="15.75" hidden="false" customHeight="true" outlineLevel="0" collapsed="false">
      <c r="A174" s="1" t="s">
        <v>49</v>
      </c>
      <c r="B174" s="1" t="n">
        <v>60.69</v>
      </c>
      <c r="C174" s="1" t="n">
        <v>74.94</v>
      </c>
      <c r="D174" s="1" t="n">
        <v>80.98</v>
      </c>
      <c r="E174" s="1" t="n">
        <v>73.82</v>
      </c>
      <c r="F174" s="1" t="n">
        <v>66.87</v>
      </c>
      <c r="G174" s="1" t="n">
        <v>77.83</v>
      </c>
      <c r="H174" s="1" t="n">
        <f aca="false">AVERAGE(B174:G174)</f>
        <v>72.5216666666667</v>
      </c>
      <c r="K174" s="1" t="s">
        <v>119</v>
      </c>
      <c r="L174" s="1" t="n">
        <v>50.4716987609863</v>
      </c>
      <c r="M174" s="1" t="n">
        <v>25</v>
      </c>
      <c r="N174" s="1" t="n">
        <v>60.6635055541992</v>
      </c>
      <c r="O174" s="1" t="n">
        <v>43.3962249755859</v>
      </c>
      <c r="P174" s="1" t="n">
        <v>21.698112487793</v>
      </c>
      <c r="Q174" s="1" t="n">
        <v>57.8431358337402</v>
      </c>
      <c r="R174" s="1" t="n">
        <v>43.1787796020508</v>
      </c>
    </row>
    <row r="175" customFormat="false" ht="15.75" hidden="false" customHeight="true" outlineLevel="0" collapsed="false">
      <c r="A175" s="1" t="s">
        <v>119</v>
      </c>
      <c r="B175" s="1" t="n">
        <v>44.92</v>
      </c>
      <c r="C175" s="1" t="n">
        <v>35.05</v>
      </c>
      <c r="D175" s="1" t="n">
        <v>78.7</v>
      </c>
      <c r="E175" s="1" t="n">
        <v>61.59</v>
      </c>
      <c r="F175" s="1" t="n">
        <v>39.12</v>
      </c>
      <c r="G175" s="1" t="n">
        <v>69.14</v>
      </c>
      <c r="H175" s="1" t="n">
        <f aca="false">AVERAGE(B175:G175)</f>
        <v>54.7533333333333</v>
      </c>
      <c r="K175" s="1" t="s">
        <v>210</v>
      </c>
      <c r="L175" s="1" t="n">
        <v>0.943396210670471</v>
      </c>
      <c r="M175" s="1" t="n">
        <v>1.88679242134094</v>
      </c>
      <c r="N175" s="1" t="n">
        <v>2.84360194206238</v>
      </c>
      <c r="O175" s="1" t="n">
        <v>0</v>
      </c>
      <c r="P175" s="1" t="n">
        <v>2.8301887512207</v>
      </c>
      <c r="Q175" s="1" t="n">
        <v>4.41176462173462</v>
      </c>
      <c r="R175" s="1" t="n">
        <v>2.15262399117152</v>
      </c>
    </row>
    <row r="176" customFormat="false" ht="15.75" hidden="false" customHeight="true" outlineLevel="0" collapsed="false">
      <c r="A176" s="1" t="s">
        <v>210</v>
      </c>
      <c r="B176" s="1" t="n">
        <v>13.92</v>
      </c>
      <c r="C176" s="1" t="n">
        <v>13.32</v>
      </c>
      <c r="D176" s="1" t="n">
        <v>27.62</v>
      </c>
      <c r="E176" s="1" t="n">
        <v>22.92</v>
      </c>
      <c r="F176" s="1" t="n">
        <v>26.15</v>
      </c>
      <c r="G176" s="1" t="n">
        <v>28.59</v>
      </c>
      <c r="H176" s="1" t="n">
        <f aca="false">AVERAGE(B176:G176)</f>
        <v>22.0866666666667</v>
      </c>
      <c r="K176" s="1" t="s">
        <v>53</v>
      </c>
      <c r="L176" s="1" t="n">
        <v>45.7547187805176</v>
      </c>
      <c r="M176" s="1" t="n">
        <v>40.5660362243652</v>
      </c>
      <c r="N176" s="1" t="n">
        <v>20.8530807495117</v>
      </c>
      <c r="O176" s="1" t="n">
        <v>54.2452812194824</v>
      </c>
      <c r="P176" s="1" t="n">
        <v>44.3396224975586</v>
      </c>
      <c r="Q176" s="1" t="n">
        <v>70.5882339477539</v>
      </c>
      <c r="R176" s="1" t="n">
        <v>46.0578289031982</v>
      </c>
    </row>
    <row r="177" customFormat="false" ht="15.75" hidden="false" customHeight="true" outlineLevel="0" collapsed="false">
      <c r="A177" s="1" t="s">
        <v>53</v>
      </c>
      <c r="B177" s="1" t="n">
        <v>45.35</v>
      </c>
      <c r="C177" s="1" t="n">
        <v>51.87</v>
      </c>
      <c r="D177" s="1" t="n">
        <v>58.92</v>
      </c>
      <c r="E177" s="1" t="n">
        <v>59.3</v>
      </c>
      <c r="F177" s="1" t="n">
        <v>54.32</v>
      </c>
      <c r="G177" s="1" t="n">
        <v>70.22</v>
      </c>
      <c r="H177" s="1" t="n">
        <f aca="false">AVERAGE(B177:G177)</f>
        <v>56.6633333333333</v>
      </c>
      <c r="K177" s="1" t="s">
        <v>227</v>
      </c>
      <c r="L177" s="1" t="n">
        <v>0</v>
      </c>
      <c r="M177" s="1" t="n">
        <v>0</v>
      </c>
      <c r="N177" s="1" t="n">
        <v>3.79146909713745</v>
      </c>
      <c r="O177" s="1" t="n">
        <v>0.943396210670471</v>
      </c>
      <c r="P177" s="1" t="n">
        <v>0.943396210670471</v>
      </c>
      <c r="Q177" s="1" t="n">
        <v>2.94117641448975</v>
      </c>
      <c r="R177" s="1" t="n">
        <v>1.43657298882802</v>
      </c>
    </row>
    <row r="178" customFormat="false" ht="15.75" hidden="false" customHeight="true" outlineLevel="0" collapsed="false">
      <c r="A178" s="1" t="s">
        <v>38</v>
      </c>
      <c r="B178" s="1" t="n">
        <v>66.68</v>
      </c>
      <c r="C178" s="1" t="n">
        <v>83.11</v>
      </c>
      <c r="D178" s="1" t="n">
        <v>81.68</v>
      </c>
      <c r="E178" s="1" t="n">
        <v>78.33</v>
      </c>
      <c r="F178" s="1" t="n">
        <v>72.76</v>
      </c>
      <c r="G178" s="1" t="n">
        <v>73.79</v>
      </c>
      <c r="H178" s="1" t="n">
        <f aca="false">AVERAGE(B178:G178)</f>
        <v>76.0583333333333</v>
      </c>
      <c r="K178" s="1" t="s">
        <v>41</v>
      </c>
      <c r="L178" s="1" t="n">
        <v>71.698112487793</v>
      </c>
      <c r="M178" s="1" t="n">
        <v>76.8867950439453</v>
      </c>
      <c r="N178" s="1" t="n">
        <v>54.9763031005859</v>
      </c>
      <c r="O178" s="1" t="n">
        <v>78.301887512207</v>
      </c>
      <c r="P178" s="1" t="n">
        <v>74.5283050537109</v>
      </c>
      <c r="Q178" s="1" t="n">
        <v>87.7450942993164</v>
      </c>
      <c r="R178" s="1" t="n">
        <v>74.0227495829264</v>
      </c>
    </row>
    <row r="179" customFormat="false" ht="15.75" hidden="false" customHeight="true" outlineLevel="0" collapsed="false">
      <c r="A179" s="1" t="s">
        <v>227</v>
      </c>
      <c r="B179" s="1" t="n">
        <v>5.76</v>
      </c>
      <c r="C179" s="1" t="n">
        <v>6.27</v>
      </c>
      <c r="D179" s="1" t="n">
        <v>39.06</v>
      </c>
      <c r="E179" s="1" t="n">
        <v>25.26</v>
      </c>
      <c r="F179" s="1" t="n">
        <v>22.49</v>
      </c>
      <c r="G179" s="1" t="n">
        <v>23.44</v>
      </c>
      <c r="H179" s="1" t="n">
        <f aca="false">AVERAGE(B179:G179)</f>
        <v>20.38</v>
      </c>
      <c r="K179" s="1" t="s">
        <v>109</v>
      </c>
      <c r="L179" s="1" t="n">
        <v>40.0943412780762</v>
      </c>
      <c r="M179" s="1" t="n">
        <v>41.0377349853516</v>
      </c>
      <c r="N179" s="1" t="n">
        <v>25.5924167633057</v>
      </c>
      <c r="O179" s="1" t="n">
        <v>50</v>
      </c>
      <c r="P179" s="1" t="n">
        <v>33.0188674926758</v>
      </c>
      <c r="Q179" s="1" t="n">
        <v>39.7058830261231</v>
      </c>
      <c r="R179" s="1" t="n">
        <v>38.241540590922</v>
      </c>
    </row>
    <row r="180" customFormat="false" ht="15.75" hidden="false" customHeight="true" outlineLevel="0" collapsed="false">
      <c r="A180" s="1" t="s">
        <v>41</v>
      </c>
      <c r="B180" s="1" t="n">
        <v>61.21</v>
      </c>
      <c r="C180" s="1" t="n">
        <v>75.48</v>
      </c>
      <c r="D180" s="1" t="n">
        <v>68.73</v>
      </c>
      <c r="E180" s="1" t="n">
        <v>72.96</v>
      </c>
      <c r="F180" s="1" t="n">
        <v>62.71</v>
      </c>
      <c r="G180" s="1" t="n">
        <v>78.22</v>
      </c>
      <c r="H180" s="1" t="n">
        <f aca="false">AVERAGE(B180:G180)</f>
        <v>69.885</v>
      </c>
      <c r="K180" s="1" t="s">
        <v>278</v>
      </c>
      <c r="L180" s="1" t="n">
        <v>64.6226425170898</v>
      </c>
      <c r="M180" s="1" t="n">
        <v>63.6792449951172</v>
      </c>
      <c r="N180" s="1" t="n">
        <v>80.568717956543</v>
      </c>
      <c r="O180" s="1" t="n">
        <v>66.0377349853516</v>
      </c>
      <c r="P180" s="1" t="n">
        <v>69.3396224975586</v>
      </c>
      <c r="Q180" s="1" t="n">
        <v>72.0588226318359</v>
      </c>
      <c r="R180" s="1" t="n">
        <v>69.384464263916</v>
      </c>
    </row>
    <row r="181" customFormat="false" ht="15.75" hidden="false" customHeight="true" outlineLevel="0" collapsed="false">
      <c r="A181" s="1" t="s">
        <v>109</v>
      </c>
      <c r="B181" s="1" t="n">
        <v>42.33</v>
      </c>
      <c r="C181" s="1" t="n">
        <v>49.71</v>
      </c>
      <c r="D181" s="1" t="n">
        <v>64.86</v>
      </c>
      <c r="E181" s="1" t="n">
        <v>55.22</v>
      </c>
      <c r="F181" s="1" t="n">
        <v>50.27</v>
      </c>
      <c r="G181" s="1" t="n">
        <v>57.86</v>
      </c>
      <c r="H181" s="1" t="n">
        <f aca="false">AVERAGE(B181:G181)</f>
        <v>53.375</v>
      </c>
      <c r="K181" s="1" t="s">
        <v>279</v>
      </c>
      <c r="L181" s="1" t="n">
        <v>66.9811325073242</v>
      </c>
      <c r="M181" s="1" t="n">
        <v>55.6603775024414</v>
      </c>
      <c r="N181" s="1" t="n">
        <v>86.2559204101563</v>
      </c>
      <c r="O181" s="1" t="n">
        <v>69.8113174438477</v>
      </c>
      <c r="P181" s="1" t="n">
        <v>64.6226425170898</v>
      </c>
      <c r="Q181" s="1" t="n">
        <v>74.5098037719727</v>
      </c>
      <c r="R181" s="1" t="n">
        <v>69.640199025472</v>
      </c>
    </row>
    <row r="182" customFormat="false" ht="15.75" hidden="false" customHeight="true" outlineLevel="0" collapsed="false">
      <c r="A182" s="1" t="s">
        <v>278</v>
      </c>
      <c r="B182" s="1" t="n">
        <v>54.46</v>
      </c>
      <c r="C182" s="1" t="n">
        <v>66.65</v>
      </c>
      <c r="D182" s="1" t="n">
        <v>85.34</v>
      </c>
      <c r="E182" s="1" t="n">
        <v>68.19</v>
      </c>
      <c r="F182" s="1" t="n">
        <v>65.54</v>
      </c>
      <c r="G182" s="1" t="n">
        <v>68.34</v>
      </c>
      <c r="H182" s="1" t="n">
        <f aca="false">AVERAGE(B182:G182)</f>
        <v>68.0866666666667</v>
      </c>
      <c r="K182" s="1" t="s">
        <v>280</v>
      </c>
      <c r="L182" s="1" t="n">
        <v>76.4150924682617</v>
      </c>
      <c r="M182" s="1" t="n">
        <v>55.6603775024414</v>
      </c>
      <c r="N182" s="1" t="n">
        <v>86.2559204101563</v>
      </c>
      <c r="O182" s="1" t="n">
        <v>67.9245300292969</v>
      </c>
      <c r="P182" s="1" t="n">
        <v>62.2641525268555</v>
      </c>
      <c r="Q182" s="1" t="n">
        <v>73.0392150878906</v>
      </c>
      <c r="R182" s="1" t="n">
        <v>70.2598813374837</v>
      </c>
    </row>
    <row r="183" customFormat="false" ht="15.75" hidden="false" customHeight="true" outlineLevel="0" collapsed="false">
      <c r="A183" s="1" t="s">
        <v>279</v>
      </c>
      <c r="B183" s="1" t="n">
        <v>57.85</v>
      </c>
      <c r="C183" s="1" t="n">
        <v>58.89</v>
      </c>
      <c r="D183" s="1" t="n">
        <v>85.44</v>
      </c>
      <c r="E183" s="1" t="n">
        <v>67.99</v>
      </c>
      <c r="F183" s="1" t="n">
        <v>59.3</v>
      </c>
      <c r="G183" s="1" t="n">
        <v>71.22</v>
      </c>
      <c r="H183" s="1" t="n">
        <f aca="false">AVERAGE(B183:G183)</f>
        <v>66.7816666666667</v>
      </c>
      <c r="K183" s="1" t="s">
        <v>191</v>
      </c>
      <c r="L183" s="1" t="n">
        <v>4.24528312683106</v>
      </c>
      <c r="M183" s="1" t="n">
        <v>2.35849046707153</v>
      </c>
      <c r="N183" s="1" t="n">
        <v>1.89573454856873</v>
      </c>
      <c r="O183" s="1" t="n">
        <v>4.24528312683106</v>
      </c>
      <c r="P183" s="1" t="n">
        <v>4.71698093414307</v>
      </c>
      <c r="Q183" s="1" t="n">
        <v>5.88235282897949</v>
      </c>
      <c r="R183" s="1" t="n">
        <v>3.89068750540415</v>
      </c>
    </row>
    <row r="184" customFormat="false" ht="15.75" hidden="false" customHeight="true" outlineLevel="0" collapsed="false">
      <c r="A184" s="1" t="s">
        <v>280</v>
      </c>
      <c r="B184" s="1" t="n">
        <v>62.62</v>
      </c>
      <c r="C184" s="1" t="n">
        <v>56.89</v>
      </c>
      <c r="D184" s="1" t="n">
        <v>87.04</v>
      </c>
      <c r="E184" s="1" t="n">
        <v>68.15</v>
      </c>
      <c r="F184" s="1" t="n">
        <v>57.64</v>
      </c>
      <c r="G184" s="1" t="n">
        <v>68.98</v>
      </c>
      <c r="H184" s="1" t="n">
        <f aca="false">AVERAGE(B184:G184)</f>
        <v>66.8866666666667</v>
      </c>
      <c r="K184" s="1" t="s">
        <v>140</v>
      </c>
      <c r="L184" s="1" t="n">
        <v>39.1509437561035</v>
      </c>
      <c r="M184" s="1" t="n">
        <v>16.0377349853516</v>
      </c>
      <c r="N184" s="1" t="n">
        <v>59.7156410217285</v>
      </c>
      <c r="O184" s="1" t="n">
        <v>51.8867912292481</v>
      </c>
      <c r="P184" s="1" t="n">
        <v>23.1132068634033</v>
      </c>
      <c r="Q184" s="1" t="n">
        <v>58.8235282897949</v>
      </c>
      <c r="R184" s="1" t="n">
        <v>41.4546410242716</v>
      </c>
    </row>
    <row r="185" customFormat="false" ht="15.75" hidden="false" customHeight="true" outlineLevel="0" collapsed="false">
      <c r="A185" s="1" t="s">
        <v>191</v>
      </c>
      <c r="B185" s="1" t="n">
        <v>16.35</v>
      </c>
      <c r="C185" s="1" t="n">
        <v>12.36</v>
      </c>
      <c r="D185" s="1" t="n">
        <v>29.35</v>
      </c>
      <c r="E185" s="1" t="n">
        <v>28.03</v>
      </c>
      <c r="F185" s="1" t="n">
        <v>25.48</v>
      </c>
      <c r="G185" s="1" t="n">
        <v>21.18</v>
      </c>
      <c r="H185" s="1" t="n">
        <f aca="false">AVERAGE(B185:G185)</f>
        <v>22.125</v>
      </c>
      <c r="K185" s="1" t="s">
        <v>29</v>
      </c>
      <c r="L185" s="1" t="n">
        <v>97.6415100097656</v>
      </c>
      <c r="M185" s="1" t="n">
        <v>94.8113174438477</v>
      </c>
      <c r="N185" s="1" t="n">
        <v>73.459716796875</v>
      </c>
      <c r="O185" s="1" t="n">
        <v>93.3962249755859</v>
      </c>
      <c r="P185" s="1" t="n">
        <v>95.2830200195313</v>
      </c>
      <c r="Q185" s="1" t="n">
        <v>97.0588226318359</v>
      </c>
      <c r="R185" s="1" t="n">
        <v>91.9417686462402</v>
      </c>
    </row>
    <row r="186" customFormat="false" ht="15.75" hidden="false" customHeight="true" outlineLevel="0" collapsed="false">
      <c r="A186" s="1" t="s">
        <v>140</v>
      </c>
      <c r="B186" s="1" t="n">
        <v>40.34</v>
      </c>
      <c r="C186" s="1" t="n">
        <v>52.11</v>
      </c>
      <c r="D186" s="1" t="n">
        <v>76.14</v>
      </c>
      <c r="E186" s="1" t="n">
        <v>55.05</v>
      </c>
      <c r="F186" s="1" t="n">
        <v>41.8</v>
      </c>
      <c r="G186" s="1" t="n">
        <v>62.09</v>
      </c>
      <c r="H186" s="1" t="n">
        <f aca="false">AVERAGE(B186:G186)</f>
        <v>54.5883333333333</v>
      </c>
      <c r="K186" s="1" t="s">
        <v>12</v>
      </c>
      <c r="L186" s="1" t="n">
        <v>97.1698150634766</v>
      </c>
      <c r="M186" s="1" t="n">
        <v>99.5283050537109</v>
      </c>
      <c r="N186" s="1" t="n">
        <v>88.6255950927734</v>
      </c>
      <c r="O186" s="1" t="n">
        <v>98.5849075317383</v>
      </c>
      <c r="P186" s="1" t="n">
        <v>95.7547149658203</v>
      </c>
      <c r="Q186" s="1" t="n">
        <v>99.0196075439453</v>
      </c>
      <c r="R186" s="1" t="n">
        <v>96.4471575419108</v>
      </c>
    </row>
    <row r="187" customFormat="false" ht="15.75" hidden="false" customHeight="true" outlineLevel="0" collapsed="false">
      <c r="A187" s="1" t="s">
        <v>29</v>
      </c>
      <c r="B187" s="1" t="n">
        <v>87.48</v>
      </c>
      <c r="C187" s="1" t="n">
        <v>89.54</v>
      </c>
      <c r="D187" s="1" t="n">
        <v>80.55</v>
      </c>
      <c r="E187" s="1" t="n">
        <v>87.29</v>
      </c>
      <c r="F187" s="1" t="n">
        <v>82.53</v>
      </c>
      <c r="G187" s="1" t="n">
        <v>87.64</v>
      </c>
      <c r="H187" s="1" t="n">
        <f aca="false">AVERAGE(B187:G187)</f>
        <v>85.8383333333333</v>
      </c>
      <c r="K187" s="1" t="s">
        <v>281</v>
      </c>
      <c r="L187" s="1" t="n">
        <v>0.471698105335236</v>
      </c>
      <c r="M187" s="1" t="n">
        <v>3.30188679695129</v>
      </c>
      <c r="N187" s="1" t="n">
        <v>0</v>
      </c>
      <c r="O187" s="1" t="n">
        <v>1.41509437561035</v>
      </c>
      <c r="P187" s="1" t="n">
        <v>3.77358484268189</v>
      </c>
      <c r="Q187" s="1" t="n">
        <v>1.47058820724487</v>
      </c>
      <c r="R187" s="1" t="n">
        <v>1.73880872130394</v>
      </c>
    </row>
    <row r="188" customFormat="false" ht="15.75" hidden="false" customHeight="true" outlineLevel="0" collapsed="false">
      <c r="A188" s="1" t="s">
        <v>12</v>
      </c>
      <c r="B188" s="1" t="n">
        <v>88.05</v>
      </c>
      <c r="C188" s="1" t="n">
        <v>92.64</v>
      </c>
      <c r="D188" s="1" t="n">
        <v>85.22</v>
      </c>
      <c r="E188" s="1" t="n">
        <v>87.27</v>
      </c>
      <c r="F188" s="1" t="n">
        <v>84.48</v>
      </c>
      <c r="G188" s="1" t="n">
        <v>85.9</v>
      </c>
      <c r="H188" s="1" t="n">
        <f aca="false">AVERAGE(B188:G188)</f>
        <v>87.26</v>
      </c>
      <c r="K188" s="1" t="s">
        <v>282</v>
      </c>
      <c r="L188" s="1" t="n">
        <v>63.2075462341309</v>
      </c>
      <c r="M188" s="1" t="n">
        <v>17.9245281219482</v>
      </c>
      <c r="N188" s="1" t="n">
        <v>60.1895751953125</v>
      </c>
      <c r="O188" s="1" t="n">
        <v>25.4716987609863</v>
      </c>
      <c r="P188" s="1" t="n">
        <v>16.5094337463379</v>
      </c>
      <c r="Q188" s="1" t="n">
        <v>56.8627433776856</v>
      </c>
      <c r="R188" s="1" t="n">
        <v>40.0275875727336</v>
      </c>
    </row>
    <row r="189" customFormat="false" ht="15.75" hidden="false" customHeight="true" outlineLevel="0" collapsed="false">
      <c r="A189" s="1" t="s">
        <v>159</v>
      </c>
      <c r="B189" s="1" t="n">
        <v>15.41</v>
      </c>
      <c r="C189" s="1" t="n">
        <v>19.88</v>
      </c>
      <c r="D189" s="1" t="n">
        <v>24.96</v>
      </c>
      <c r="E189" s="1" t="n">
        <v>28.73</v>
      </c>
      <c r="F189" s="1" t="n">
        <v>24.33</v>
      </c>
      <c r="G189" s="1" t="n">
        <v>28.02</v>
      </c>
      <c r="H189" s="1" t="n">
        <f aca="false">AVERAGE(B189:G189)</f>
        <v>23.555</v>
      </c>
      <c r="K189" s="1" t="s">
        <v>48</v>
      </c>
      <c r="L189" s="1" t="n">
        <v>84.4339599609375</v>
      </c>
      <c r="M189" s="1" t="n">
        <v>91.5094375610352</v>
      </c>
      <c r="N189" s="1" t="n">
        <v>74.407585144043</v>
      </c>
      <c r="O189" s="1" t="n">
        <v>86.3207550048828</v>
      </c>
      <c r="P189" s="1" t="n">
        <v>91.5094375610352</v>
      </c>
      <c r="Q189" s="1" t="n">
        <v>84.8039245605469</v>
      </c>
      <c r="R189" s="1" t="n">
        <v>85.4975166320801</v>
      </c>
    </row>
    <row r="190" customFormat="false" ht="15.75" hidden="false" customHeight="true" outlineLevel="0" collapsed="false">
      <c r="A190" s="1" t="s">
        <v>283</v>
      </c>
      <c r="B190" s="1" t="n">
        <v>50.63</v>
      </c>
      <c r="C190" s="1" t="n">
        <v>36.66</v>
      </c>
      <c r="D190" s="1" t="n">
        <v>75.17</v>
      </c>
      <c r="E190" s="1" t="n">
        <v>51.16</v>
      </c>
      <c r="F190" s="1" t="n">
        <v>39.33</v>
      </c>
      <c r="G190" s="1" t="n">
        <v>61.3</v>
      </c>
      <c r="H190" s="1" t="n">
        <f aca="false">AVERAGE(B190:G190)</f>
        <v>52.375</v>
      </c>
      <c r="K190" s="1" t="s">
        <v>98</v>
      </c>
      <c r="L190" s="1" t="n">
        <v>7.54716968536377</v>
      </c>
      <c r="M190" s="1" t="n">
        <v>23.5849056243897</v>
      </c>
      <c r="N190" s="1" t="n">
        <v>27.488151550293</v>
      </c>
      <c r="O190" s="1" t="n">
        <v>9.90566062927246</v>
      </c>
      <c r="P190" s="1" t="n">
        <v>11.3207550048828</v>
      </c>
      <c r="Q190" s="1" t="n">
        <v>4.90196084976196</v>
      </c>
      <c r="R190" s="1" t="n">
        <v>14.1247672239939</v>
      </c>
    </row>
    <row r="191" customFormat="false" ht="15.75" hidden="false" customHeight="true" outlineLevel="0" collapsed="false">
      <c r="A191" s="1" t="s">
        <v>48</v>
      </c>
      <c r="B191" s="1" t="n">
        <v>71.9</v>
      </c>
      <c r="C191" s="1" t="n">
        <v>83.28</v>
      </c>
      <c r="D191" s="1" t="n">
        <v>83.11</v>
      </c>
      <c r="E191" s="1" t="n">
        <v>78.42</v>
      </c>
      <c r="F191" s="1" t="n">
        <v>76.08</v>
      </c>
      <c r="G191" s="1" t="n">
        <v>76.94</v>
      </c>
      <c r="H191" s="1" t="n">
        <f aca="false">AVERAGE(B191:G191)</f>
        <v>78.2883333333333</v>
      </c>
      <c r="K191" s="1" t="s">
        <v>158</v>
      </c>
      <c r="L191" s="1" t="n">
        <v>43.8679237365723</v>
      </c>
      <c r="M191" s="1" t="n">
        <v>34.9056587219238</v>
      </c>
      <c r="N191" s="1" t="n">
        <v>44.0758285522461</v>
      </c>
      <c r="O191" s="1" t="n">
        <v>38.6792449951172</v>
      </c>
      <c r="P191" s="1" t="n">
        <v>30.1886787414551</v>
      </c>
      <c r="Q191" s="1" t="n">
        <v>32.8431358337402</v>
      </c>
      <c r="R191" s="1" t="n">
        <v>37.4267450968425</v>
      </c>
    </row>
    <row r="192" customFormat="false" ht="15.75" hidden="false" customHeight="true" outlineLevel="0" collapsed="false">
      <c r="A192" s="1" t="s">
        <v>98</v>
      </c>
      <c r="B192" s="1" t="n">
        <v>22.75</v>
      </c>
      <c r="C192" s="1" t="n">
        <v>38.29</v>
      </c>
      <c r="D192" s="1" t="n">
        <v>60.44</v>
      </c>
      <c r="E192" s="1" t="n">
        <v>38.48</v>
      </c>
      <c r="F192" s="1" t="n">
        <v>41.66</v>
      </c>
      <c r="G192" s="1" t="n">
        <v>25.61</v>
      </c>
      <c r="H192" s="1" t="n">
        <f aca="false">AVERAGE(B192:G192)</f>
        <v>37.8716666666667</v>
      </c>
      <c r="K192" s="1" t="s">
        <v>86</v>
      </c>
      <c r="L192" s="1" t="n">
        <v>35.8490562438965</v>
      </c>
      <c r="M192" s="1" t="n">
        <v>58.4905662536621</v>
      </c>
      <c r="N192" s="1" t="n">
        <v>36.0189590454102</v>
      </c>
      <c r="O192" s="1" t="n">
        <v>57.5471687316895</v>
      </c>
      <c r="P192" s="1" t="n">
        <v>57.0754699707031</v>
      </c>
      <c r="Q192" s="1" t="n">
        <v>35.7843132019043</v>
      </c>
      <c r="R192" s="1" t="n">
        <v>46.7942555745443</v>
      </c>
    </row>
    <row r="193" customFormat="false" ht="15.75" hidden="false" customHeight="true" outlineLevel="0" collapsed="false">
      <c r="A193" s="1" t="s">
        <v>158</v>
      </c>
      <c r="B193" s="1" t="n">
        <v>41.31</v>
      </c>
      <c r="C193" s="1" t="n">
        <v>47.11</v>
      </c>
      <c r="D193" s="1" t="n">
        <v>57.26</v>
      </c>
      <c r="E193" s="1" t="n">
        <v>49.22</v>
      </c>
      <c r="F193" s="1" t="n">
        <v>47</v>
      </c>
      <c r="G193" s="1" t="n">
        <v>43.3</v>
      </c>
      <c r="H193" s="1" t="n">
        <f aca="false">AVERAGE(B193:G193)</f>
        <v>47.5333333333333</v>
      </c>
      <c r="K193" s="1" t="s">
        <v>284</v>
      </c>
      <c r="L193" s="1" t="n">
        <v>47.6415100097656</v>
      </c>
      <c r="M193" s="1" t="n">
        <v>20.754716873169</v>
      </c>
      <c r="N193" s="1" t="n">
        <v>54.502368927002</v>
      </c>
      <c r="O193" s="1" t="n">
        <v>21.698112487793</v>
      </c>
      <c r="P193" s="1" t="n">
        <v>34.4339637756348</v>
      </c>
      <c r="Q193" s="1" t="n">
        <v>61.2745094299316</v>
      </c>
      <c r="R193" s="1" t="n">
        <v>40.0508635838827</v>
      </c>
    </row>
    <row r="194" customFormat="false" ht="15.75" hidden="false" customHeight="true" outlineLevel="0" collapsed="false">
      <c r="A194" s="1" t="s">
        <v>86</v>
      </c>
      <c r="B194" s="1" t="n">
        <v>38.05</v>
      </c>
      <c r="C194" s="1" t="n">
        <v>57.71</v>
      </c>
      <c r="D194" s="1" t="n">
        <v>55.8</v>
      </c>
      <c r="E194" s="1" t="n">
        <v>56.62</v>
      </c>
      <c r="F194" s="1" t="n">
        <v>57.64</v>
      </c>
      <c r="G194" s="1" t="n">
        <v>48.23</v>
      </c>
      <c r="H194" s="1" t="n">
        <f aca="false">AVERAGE(B194:G194)</f>
        <v>52.3416666666667</v>
      </c>
      <c r="K194" s="1" t="s">
        <v>285</v>
      </c>
      <c r="L194" s="1" t="n">
        <v>28.7735843658447</v>
      </c>
      <c r="M194" s="1" t="n">
        <v>30.1886787414551</v>
      </c>
      <c r="N194" s="1" t="n">
        <v>14.2180099487305</v>
      </c>
      <c r="O194" s="1" t="n">
        <v>32.0754699707031</v>
      </c>
      <c r="P194" s="1" t="n">
        <v>33.9622650146484</v>
      </c>
      <c r="Q194" s="1" t="n">
        <v>26.470588684082</v>
      </c>
      <c r="R194" s="1" t="n">
        <v>27.6147661209106</v>
      </c>
    </row>
    <row r="195" customFormat="false" ht="15.75" hidden="false" customHeight="true" outlineLevel="0" collapsed="false">
      <c r="A195" s="1" t="s">
        <v>284</v>
      </c>
      <c r="B195" s="1" t="n">
        <v>40.16</v>
      </c>
      <c r="C195" s="1" t="n">
        <v>41.26</v>
      </c>
      <c r="D195" s="1" t="n">
        <v>76.93</v>
      </c>
      <c r="E195" s="1" t="n">
        <v>48.07</v>
      </c>
      <c r="F195" s="1" t="n">
        <v>42.89</v>
      </c>
      <c r="G195" s="1" t="n">
        <v>65.66</v>
      </c>
      <c r="H195" s="1" t="n">
        <f aca="false">AVERAGE(B195:G195)</f>
        <v>52.495</v>
      </c>
      <c r="K195" s="1" t="s">
        <v>186</v>
      </c>
      <c r="L195" s="1" t="n">
        <v>45.2830200195313</v>
      </c>
      <c r="M195" s="1" t="n">
        <v>45.7547187805176</v>
      </c>
      <c r="N195" s="1" t="n">
        <v>90.0473937988281</v>
      </c>
      <c r="O195" s="1" t="n">
        <v>66.9811325073242</v>
      </c>
      <c r="P195" s="1" t="n">
        <v>37.2641525268555</v>
      </c>
      <c r="Q195" s="1" t="n">
        <v>75</v>
      </c>
      <c r="R195" s="1" t="n">
        <v>60.0550696055094</v>
      </c>
    </row>
    <row r="196" customFormat="false" ht="15.75" hidden="false" customHeight="true" outlineLevel="0" collapsed="false">
      <c r="A196" s="1" t="s">
        <v>285</v>
      </c>
      <c r="B196" s="1" t="n">
        <v>33.82</v>
      </c>
      <c r="C196" s="1" t="n">
        <v>35.22</v>
      </c>
      <c r="D196" s="1" t="n">
        <v>50.71</v>
      </c>
      <c r="E196" s="1" t="n">
        <v>48.29</v>
      </c>
      <c r="F196" s="1" t="n">
        <v>47.31</v>
      </c>
      <c r="G196" s="1" t="n">
        <v>38.72</v>
      </c>
      <c r="H196" s="1" t="n">
        <f aca="false">AVERAGE(B196:G196)</f>
        <v>42.345</v>
      </c>
      <c r="K196" s="1" t="s">
        <v>286</v>
      </c>
      <c r="L196" s="1" t="n">
        <v>41.0377349853516</v>
      </c>
      <c r="M196" s="1" t="n">
        <v>49.5283012390137</v>
      </c>
      <c r="N196" s="1" t="n">
        <v>57.8199043273926</v>
      </c>
      <c r="O196" s="1" t="n">
        <v>42.4528312683106</v>
      </c>
      <c r="P196" s="1" t="n">
        <v>47.6415100097656</v>
      </c>
      <c r="Q196" s="1" t="n">
        <v>67.1568603515625</v>
      </c>
      <c r="R196" s="1" t="n">
        <v>50.9395236968994</v>
      </c>
    </row>
    <row r="197" customFormat="false" ht="15.75" hidden="false" customHeight="true" outlineLevel="0" collapsed="false">
      <c r="A197" s="1" t="s">
        <v>186</v>
      </c>
      <c r="B197" s="1" t="n">
        <v>39.63</v>
      </c>
      <c r="C197" s="1" t="n">
        <v>51.14</v>
      </c>
      <c r="D197" s="1" t="n">
        <v>88.64</v>
      </c>
      <c r="E197" s="1" t="n">
        <v>71.39</v>
      </c>
      <c r="F197" s="1" t="n">
        <v>51.1</v>
      </c>
      <c r="G197" s="1" t="n">
        <v>72.51</v>
      </c>
      <c r="H197" s="1" t="n">
        <f aca="false">AVERAGE(B197:G197)</f>
        <v>62.4016666666667</v>
      </c>
      <c r="K197" s="1" t="s">
        <v>101</v>
      </c>
      <c r="L197" s="1" t="n">
        <v>42.9245300292969</v>
      </c>
      <c r="M197" s="1" t="n">
        <v>39.1509437561035</v>
      </c>
      <c r="N197" s="1" t="n">
        <v>22.274881362915</v>
      </c>
      <c r="O197" s="1" t="n">
        <v>47.6415100097656</v>
      </c>
      <c r="P197" s="1" t="n">
        <v>28.7735843658447</v>
      </c>
      <c r="Q197" s="1" t="n">
        <v>40.6862754821777</v>
      </c>
      <c r="R197" s="1" t="n">
        <v>36.9086208343506</v>
      </c>
    </row>
    <row r="198" customFormat="false" ht="15.75" hidden="false" customHeight="true" outlineLevel="0" collapsed="false">
      <c r="A198" s="1" t="s">
        <v>130</v>
      </c>
      <c r="B198" s="1" t="n">
        <v>41.21</v>
      </c>
      <c r="C198" s="1" t="n">
        <v>57.14</v>
      </c>
      <c r="D198" s="1" t="n">
        <v>73.8</v>
      </c>
      <c r="E198" s="1" t="n">
        <v>52.88</v>
      </c>
      <c r="F198" s="1" t="n">
        <v>52.44</v>
      </c>
      <c r="G198" s="1" t="n">
        <v>67.74</v>
      </c>
      <c r="H198" s="1" t="n">
        <f aca="false">AVERAGE(B198:G198)</f>
        <v>57.535</v>
      </c>
      <c r="K198" s="1" t="s">
        <v>118</v>
      </c>
      <c r="L198" s="1" t="n">
        <v>6.60377359390259</v>
      </c>
      <c r="M198" s="1" t="n">
        <v>10.8490562438965</v>
      </c>
      <c r="N198" s="1" t="n">
        <v>43.1279602050781</v>
      </c>
      <c r="O198" s="1" t="n">
        <v>6.60377359390259</v>
      </c>
      <c r="P198" s="1" t="n">
        <v>1.41509437561035</v>
      </c>
      <c r="Q198" s="1" t="n">
        <v>0.490196079015732</v>
      </c>
      <c r="R198" s="1" t="n">
        <v>11.514975681901</v>
      </c>
    </row>
    <row r="199" customFormat="false" ht="15.75" hidden="false" customHeight="true" outlineLevel="0" collapsed="false">
      <c r="A199" s="1" t="s">
        <v>101</v>
      </c>
      <c r="B199" s="1" t="n">
        <v>43.93</v>
      </c>
      <c r="C199" s="1" t="n">
        <v>46.52</v>
      </c>
      <c r="D199" s="1" t="n">
        <v>53.38</v>
      </c>
      <c r="E199" s="1" t="n">
        <v>52.19</v>
      </c>
      <c r="F199" s="1" t="n">
        <v>46.46</v>
      </c>
      <c r="G199" s="1" t="n">
        <v>45.79</v>
      </c>
      <c r="H199" s="1" t="n">
        <f aca="false">AVERAGE(B199:G199)</f>
        <v>48.045</v>
      </c>
      <c r="K199" s="1" t="s">
        <v>179</v>
      </c>
      <c r="L199" s="1" t="n">
        <v>72.1698150634766</v>
      </c>
      <c r="M199" s="1" t="n">
        <v>35.3773574829102</v>
      </c>
      <c r="N199" s="1" t="n">
        <v>94.3127975463867</v>
      </c>
      <c r="O199" s="1" t="n">
        <v>82.0754699707031</v>
      </c>
      <c r="P199" s="1" t="n">
        <v>44.8113212585449</v>
      </c>
      <c r="Q199" s="1" t="n">
        <v>89.2156829833984</v>
      </c>
      <c r="R199" s="1" t="n">
        <v>69.6604073842367</v>
      </c>
    </row>
    <row r="200" customFormat="false" ht="15.75" hidden="false" customHeight="true" outlineLevel="0" collapsed="false">
      <c r="A200" s="1" t="s">
        <v>62</v>
      </c>
      <c r="B200" s="1" t="n">
        <v>37.39</v>
      </c>
      <c r="C200" s="1" t="n">
        <v>52.94</v>
      </c>
      <c r="D200" s="1" t="n">
        <v>50.17</v>
      </c>
      <c r="E200" s="1" t="n">
        <v>45.25</v>
      </c>
      <c r="F200" s="1" t="n">
        <v>52.54</v>
      </c>
      <c r="G200" s="1" t="n">
        <v>37.28</v>
      </c>
      <c r="H200" s="1" t="n">
        <f aca="false">AVERAGE(B200:G200)</f>
        <v>45.9283333333333</v>
      </c>
      <c r="K200" s="1" t="s">
        <v>62</v>
      </c>
      <c r="L200" s="1" t="n">
        <v>34.9056587219238</v>
      </c>
      <c r="M200" s="1" t="n">
        <v>41.5094337463379</v>
      </c>
      <c r="N200" s="1" t="n">
        <v>13.7440757751465</v>
      </c>
      <c r="O200" s="1" t="n">
        <v>32.5471687316895</v>
      </c>
      <c r="P200" s="1" t="n">
        <v>43.8679237365723</v>
      </c>
      <c r="Q200" s="1" t="n">
        <v>25</v>
      </c>
      <c r="R200" s="1" t="n">
        <v>31.929043451945</v>
      </c>
    </row>
    <row r="201" customFormat="false" ht="15.75" hidden="false" customHeight="true" outlineLevel="0" collapsed="false">
      <c r="A201" s="1" t="s">
        <v>118</v>
      </c>
      <c r="B201" s="1" t="n">
        <v>21.69</v>
      </c>
      <c r="C201" s="1" t="n">
        <v>28.71</v>
      </c>
      <c r="D201" s="1" t="n">
        <v>69.74</v>
      </c>
      <c r="E201" s="1" t="n">
        <v>35.28</v>
      </c>
      <c r="F201" s="1" t="n">
        <v>23.13</v>
      </c>
      <c r="G201" s="1" t="n">
        <v>20.83</v>
      </c>
      <c r="H201" s="1" t="n">
        <f aca="false">AVERAGE(B201:G201)</f>
        <v>33.23</v>
      </c>
      <c r="K201" s="1" t="s">
        <v>157</v>
      </c>
      <c r="L201" s="1" t="n">
        <v>16.5094337463379</v>
      </c>
      <c r="M201" s="1" t="n">
        <v>31.6037731170654</v>
      </c>
      <c r="N201" s="1" t="n">
        <v>19.4312801361084</v>
      </c>
      <c r="O201" s="1" t="n">
        <v>34.4339637756348</v>
      </c>
      <c r="P201" s="1" t="n">
        <v>32.5471687316895</v>
      </c>
      <c r="Q201" s="1" t="n">
        <v>29.4117641448975</v>
      </c>
      <c r="R201" s="1" t="n">
        <v>27.3228972752889</v>
      </c>
    </row>
    <row r="202" customFormat="false" ht="15.75" hidden="false" customHeight="true" outlineLevel="0" collapsed="false">
      <c r="A202" s="1" t="s">
        <v>179</v>
      </c>
      <c r="B202" s="1" t="n">
        <v>59.8</v>
      </c>
      <c r="C202" s="1" t="n">
        <v>40</v>
      </c>
      <c r="D202" s="1" t="n">
        <v>90.53</v>
      </c>
      <c r="E202" s="1" t="n">
        <v>80.93</v>
      </c>
      <c r="F202" s="1" t="n">
        <v>47.89</v>
      </c>
      <c r="G202" s="1" t="n">
        <v>80.81</v>
      </c>
      <c r="H202" s="1" t="n">
        <f aca="false">AVERAGE(B202:G202)</f>
        <v>66.66</v>
      </c>
      <c r="K202" s="1" t="s">
        <v>90</v>
      </c>
      <c r="L202" s="1" t="n">
        <v>25.943395614624</v>
      </c>
      <c r="M202" s="1" t="n">
        <v>37.7358474731445</v>
      </c>
      <c r="N202" s="1" t="n">
        <v>10.9004735946655</v>
      </c>
      <c r="O202" s="1" t="n">
        <v>19.8113212585449</v>
      </c>
      <c r="P202" s="1" t="n">
        <v>43.3962249755859</v>
      </c>
      <c r="Q202" s="1" t="n">
        <v>42.6470603942871</v>
      </c>
      <c r="R202" s="1" t="n">
        <v>30.0723872184753</v>
      </c>
    </row>
    <row r="203" customFormat="false" ht="15.75" hidden="false" customHeight="true" outlineLevel="0" collapsed="false">
      <c r="A203" s="1" t="s">
        <v>157</v>
      </c>
      <c r="B203" s="1" t="n">
        <v>25.75</v>
      </c>
      <c r="C203" s="1" t="n">
        <v>45.97</v>
      </c>
      <c r="D203" s="1" t="n">
        <v>50.42</v>
      </c>
      <c r="E203" s="1" t="n">
        <v>47.58</v>
      </c>
      <c r="F203" s="1" t="n">
        <v>45.28</v>
      </c>
      <c r="G203" s="1" t="n">
        <v>39.2</v>
      </c>
      <c r="H203" s="1" t="n">
        <f aca="false">AVERAGE(B203:G203)</f>
        <v>42.3666666666667</v>
      </c>
      <c r="K203" s="1" t="s">
        <v>33</v>
      </c>
      <c r="L203" s="1" t="n">
        <v>82.5471725463867</v>
      </c>
      <c r="M203" s="1" t="n">
        <v>95.2830200195313</v>
      </c>
      <c r="N203" s="1" t="n">
        <v>70.1421813964844</v>
      </c>
      <c r="O203" s="1" t="n">
        <v>78.7735824584961</v>
      </c>
      <c r="P203" s="1" t="n">
        <v>82.0754699707031</v>
      </c>
      <c r="Q203" s="1" t="n">
        <v>18.6274509429932</v>
      </c>
      <c r="R203" s="1" t="n">
        <v>71.2414795557658</v>
      </c>
    </row>
    <row r="204" customFormat="false" ht="15.75" hidden="false" customHeight="true" outlineLevel="0" collapsed="false">
      <c r="A204" s="1" t="s">
        <v>90</v>
      </c>
      <c r="B204" s="1" t="n">
        <v>34.11</v>
      </c>
      <c r="C204" s="1" t="n">
        <v>40.15</v>
      </c>
      <c r="D204" s="1" t="n">
        <v>59.76</v>
      </c>
      <c r="E204" s="1" t="n">
        <v>45.64</v>
      </c>
      <c r="F204" s="1" t="n">
        <v>50.65</v>
      </c>
      <c r="G204" s="1" t="n">
        <v>56.19</v>
      </c>
      <c r="H204" s="1" t="n">
        <f aca="false">AVERAGE(B204:G204)</f>
        <v>47.75</v>
      </c>
      <c r="K204" s="1" t="s">
        <v>23</v>
      </c>
      <c r="L204" s="1" t="n">
        <v>90.5660400390625</v>
      </c>
      <c r="M204" s="1" t="n">
        <v>84.4339599609375</v>
      </c>
      <c r="N204" s="1" t="n">
        <v>62.0853080749512</v>
      </c>
      <c r="O204" s="1" t="n">
        <v>89.1509399414063</v>
      </c>
      <c r="P204" s="1" t="n">
        <v>92.9245300292969</v>
      </c>
      <c r="Q204" s="1" t="n">
        <v>90.1960754394531</v>
      </c>
      <c r="R204" s="1" t="n">
        <v>84.8928089141846</v>
      </c>
    </row>
    <row r="205" customFormat="false" ht="15.75" hidden="false" customHeight="true" outlineLevel="0" collapsed="false">
      <c r="A205" s="1" t="s">
        <v>33</v>
      </c>
      <c r="B205" s="1" t="n">
        <v>71.29</v>
      </c>
      <c r="C205" s="1" t="n">
        <v>75.45</v>
      </c>
      <c r="D205" s="1" t="n">
        <v>80.07</v>
      </c>
      <c r="E205" s="1" t="n">
        <v>67.59</v>
      </c>
      <c r="F205" s="1" t="n">
        <v>75.71</v>
      </c>
      <c r="G205" s="1" t="n">
        <v>38.08</v>
      </c>
      <c r="H205" s="1" t="n">
        <f aca="false">AVERAGE(B205:G205)</f>
        <v>68.0316666666667</v>
      </c>
      <c r="K205" s="1" t="s">
        <v>17</v>
      </c>
      <c r="L205" s="1" t="n">
        <v>83.0188674926758</v>
      </c>
      <c r="M205" s="1" t="n">
        <v>87.7358474731445</v>
      </c>
      <c r="N205" s="1" t="n">
        <v>47.3933639526367</v>
      </c>
      <c r="O205" s="1" t="n">
        <v>88.6792449951172</v>
      </c>
      <c r="P205" s="1" t="n">
        <v>90.5660400390625</v>
      </c>
      <c r="Q205" s="1" t="n">
        <v>75.4901962280273</v>
      </c>
      <c r="R205" s="1" t="n">
        <v>78.8139266967773</v>
      </c>
    </row>
    <row r="206" customFormat="false" ht="15.75" hidden="false" customHeight="true" outlineLevel="0" collapsed="false">
      <c r="A206" s="1" t="s">
        <v>23</v>
      </c>
      <c r="B206" s="1" t="n">
        <v>78.92</v>
      </c>
      <c r="C206" s="1" t="n">
        <v>77.58</v>
      </c>
      <c r="D206" s="1" t="n">
        <v>70.68</v>
      </c>
      <c r="E206" s="1" t="n">
        <v>79.53</v>
      </c>
      <c r="F206" s="1" t="n">
        <v>80.64</v>
      </c>
      <c r="G206" s="1" t="n">
        <v>81.29</v>
      </c>
      <c r="H206" s="1" t="n">
        <f aca="false">AVERAGE(B206:G206)</f>
        <v>78.1066666666667</v>
      </c>
      <c r="K206" s="1" t="s">
        <v>60</v>
      </c>
      <c r="L206" s="1" t="n">
        <v>92.4528274536133</v>
      </c>
      <c r="M206" s="1" t="n">
        <v>79.2452850341797</v>
      </c>
      <c r="N206" s="1" t="n">
        <v>81.9905242919922</v>
      </c>
      <c r="O206" s="1" t="n">
        <v>75.9433975219727</v>
      </c>
      <c r="P206" s="1" t="n">
        <v>73.5849075317383</v>
      </c>
      <c r="Q206" s="1" t="n">
        <v>92.1568603515625</v>
      </c>
      <c r="R206" s="1" t="n">
        <v>82.5623003641764</v>
      </c>
    </row>
    <row r="207" customFormat="false" ht="15.75" hidden="false" customHeight="true" outlineLevel="0" collapsed="false">
      <c r="A207" s="1" t="s">
        <v>17</v>
      </c>
      <c r="B207" s="1" t="n">
        <v>65.5</v>
      </c>
      <c r="C207" s="1" t="n">
        <v>76.72</v>
      </c>
      <c r="D207" s="1" t="n">
        <v>60.31</v>
      </c>
      <c r="E207" s="1" t="n">
        <v>71.67</v>
      </c>
      <c r="F207" s="1" t="n">
        <v>72.82</v>
      </c>
      <c r="G207" s="1" t="n">
        <v>69.55</v>
      </c>
      <c r="H207" s="1" t="n">
        <f aca="false">AVERAGE(B207:G207)</f>
        <v>69.4283333333333</v>
      </c>
      <c r="K207" s="1" t="s">
        <v>89</v>
      </c>
      <c r="L207" s="1" t="n">
        <v>23.1132068634033</v>
      </c>
      <c r="M207" s="1" t="n">
        <v>40.0943412780762</v>
      </c>
      <c r="N207" s="1" t="n">
        <v>40.7582931518555</v>
      </c>
      <c r="O207" s="1" t="n">
        <v>23.1132068634033</v>
      </c>
      <c r="P207" s="1" t="n">
        <v>31.1320762634277</v>
      </c>
      <c r="Q207" s="1" t="n">
        <v>12.2549018859863</v>
      </c>
      <c r="R207" s="1" t="n">
        <v>28.4110043843587</v>
      </c>
    </row>
    <row r="208" customFormat="false" ht="15.75" hidden="false" customHeight="true" outlineLevel="0" collapsed="false">
      <c r="A208" s="1" t="s">
        <v>60</v>
      </c>
      <c r="B208" s="1" t="n">
        <v>79.43</v>
      </c>
      <c r="C208" s="1" t="n">
        <v>70</v>
      </c>
      <c r="D208" s="1" t="n">
        <v>88.39</v>
      </c>
      <c r="E208" s="1" t="n">
        <v>74.11</v>
      </c>
      <c r="F208" s="1" t="n">
        <v>65</v>
      </c>
      <c r="G208" s="1" t="n">
        <v>80.01</v>
      </c>
      <c r="H208" s="1" t="n">
        <f aca="false">AVERAGE(B208:G208)</f>
        <v>76.1566666666667</v>
      </c>
      <c r="K208" s="1" t="s">
        <v>182</v>
      </c>
      <c r="L208" s="1" t="n">
        <v>53.7735862731934</v>
      </c>
      <c r="M208" s="1" t="n">
        <v>31.1320762634277</v>
      </c>
      <c r="N208" s="1" t="n">
        <v>81.0426559448242</v>
      </c>
      <c r="O208" s="1" t="n">
        <v>54.7169799804688</v>
      </c>
      <c r="P208" s="1" t="n">
        <v>48.113208770752</v>
      </c>
      <c r="Q208" s="1" t="n">
        <v>68.1372528076172</v>
      </c>
      <c r="R208" s="1" t="n">
        <v>56.1526266733805</v>
      </c>
    </row>
    <row r="209" customFormat="false" ht="15.75" hidden="false" customHeight="true" outlineLevel="0" collapsed="false">
      <c r="A209" s="1" t="s">
        <v>205</v>
      </c>
      <c r="B209" s="1" t="n">
        <v>46.65</v>
      </c>
      <c r="C209" s="1" t="n">
        <v>59.61</v>
      </c>
      <c r="D209" s="1" t="n">
        <v>82.6</v>
      </c>
      <c r="E209" s="1" t="n">
        <v>68.02</v>
      </c>
      <c r="F209" s="1" t="n">
        <v>74.22</v>
      </c>
      <c r="H209" s="1" t="n">
        <f aca="false">AVERAGE(B209:G209)</f>
        <v>66.22</v>
      </c>
      <c r="K209" s="1" t="s">
        <v>108</v>
      </c>
      <c r="L209" s="1" t="n">
        <v>1.41509437561035</v>
      </c>
      <c r="M209" s="1" t="n">
        <v>5.66037750244141</v>
      </c>
      <c r="N209" s="1" t="n">
        <v>12.3222751617432</v>
      </c>
      <c r="O209" s="1" t="n">
        <v>0.471698105335236</v>
      </c>
      <c r="P209" s="1" t="n">
        <v>1.88679242134094</v>
      </c>
      <c r="Q209" s="1" t="n">
        <v>6.86274528503418</v>
      </c>
      <c r="R209" s="1" t="n">
        <v>4.76983047525088</v>
      </c>
    </row>
    <row r="210" customFormat="false" ht="15.75" hidden="false" customHeight="true" outlineLevel="0" collapsed="false">
      <c r="A210" s="1" t="s">
        <v>89</v>
      </c>
      <c r="B210" s="1" t="n">
        <v>34.06</v>
      </c>
      <c r="C210" s="1" t="n">
        <v>48.33</v>
      </c>
      <c r="D210" s="1" t="n">
        <v>67.4</v>
      </c>
      <c r="E210" s="1" t="n">
        <v>48.06</v>
      </c>
      <c r="F210" s="1" t="n">
        <v>46.54</v>
      </c>
      <c r="G210" s="1" t="n">
        <v>34.8</v>
      </c>
      <c r="H210" s="1" t="n">
        <f aca="false">AVERAGE(B210:G210)</f>
        <v>46.5316666666667</v>
      </c>
      <c r="K210" s="1" t="s">
        <v>97</v>
      </c>
      <c r="L210" s="1" t="n">
        <v>38.6792449951172</v>
      </c>
      <c r="M210" s="1" t="n">
        <v>56.1320762634277</v>
      </c>
      <c r="N210" s="1" t="n">
        <v>45.0236968994141</v>
      </c>
      <c r="O210" s="1" t="n">
        <v>50.4716987609863</v>
      </c>
      <c r="P210" s="1" t="n">
        <v>38.2075462341309</v>
      </c>
      <c r="Q210" s="1" t="n">
        <v>15.1960783004761</v>
      </c>
      <c r="R210" s="1" t="n">
        <v>40.6183902422587</v>
      </c>
    </row>
    <row r="211" customFormat="false" ht="15.75" hidden="false" customHeight="true" outlineLevel="0" collapsed="false">
      <c r="A211" s="1" t="s">
        <v>182</v>
      </c>
      <c r="B211" s="1" t="n">
        <v>44.38</v>
      </c>
      <c r="C211" s="1" t="n">
        <v>37.02</v>
      </c>
      <c r="D211" s="1" t="n">
        <v>82.3</v>
      </c>
      <c r="E211" s="1" t="n">
        <v>67.34</v>
      </c>
      <c r="F211" s="1" t="n">
        <v>49.64</v>
      </c>
      <c r="G211" s="1" t="n">
        <v>67.76</v>
      </c>
      <c r="H211" s="1" t="n">
        <f aca="false">AVERAGE(B211:G211)</f>
        <v>58.0733333333333</v>
      </c>
      <c r="K211" s="1" t="s">
        <v>287</v>
      </c>
      <c r="L211" s="1" t="n">
        <v>53.301887512207</v>
      </c>
      <c r="M211" s="1" t="n">
        <v>73.1132049560547</v>
      </c>
      <c r="N211" s="1" t="n">
        <v>63.0331764221191</v>
      </c>
      <c r="O211" s="1" t="n">
        <v>81.6037750244141</v>
      </c>
      <c r="P211" s="1" t="n">
        <v>89.6226425170898</v>
      </c>
      <c r="R211" s="1" t="n">
        <v>72.134937286377</v>
      </c>
    </row>
    <row r="212" customFormat="false" ht="15.75" hidden="false" customHeight="true" outlineLevel="0" collapsed="false">
      <c r="A212" s="1" t="s">
        <v>108</v>
      </c>
      <c r="B212" s="1" t="n">
        <v>16.87</v>
      </c>
      <c r="C212" s="1" t="n">
        <v>23.83</v>
      </c>
      <c r="D212" s="1" t="n">
        <v>39.18</v>
      </c>
      <c r="E212" s="1" t="n">
        <v>22.4</v>
      </c>
      <c r="F212" s="1" t="n">
        <v>21.32</v>
      </c>
      <c r="G212" s="1" t="n">
        <v>25.66</v>
      </c>
      <c r="H212" s="1" t="n">
        <f aca="false">AVERAGE(B212:G212)</f>
        <v>24.8766666666667</v>
      </c>
      <c r="K212" s="1" t="s">
        <v>288</v>
      </c>
      <c r="L212" s="1" t="n">
        <v>26.4150943756104</v>
      </c>
      <c r="M212" s="1" t="n">
        <v>10.3773584365845</v>
      </c>
      <c r="N212" s="1" t="n">
        <v>7.10900497436523</v>
      </c>
      <c r="O212" s="1" t="n">
        <v>25.943395614624</v>
      </c>
      <c r="P212" s="1" t="n">
        <v>41.9811325073242</v>
      </c>
      <c r="Q212" s="1" t="n">
        <v>18.1372547149658</v>
      </c>
      <c r="R212" s="1" t="n">
        <v>21.6605401039124</v>
      </c>
    </row>
    <row r="213" customFormat="false" ht="15.75" hidden="false" customHeight="true" outlineLevel="0" collapsed="false">
      <c r="A213" s="1" t="s">
        <v>97</v>
      </c>
      <c r="B213" s="1" t="n">
        <v>45.9</v>
      </c>
      <c r="C213" s="1" t="n">
        <v>55.95</v>
      </c>
      <c r="D213" s="1" t="n">
        <v>67.66</v>
      </c>
      <c r="E213" s="1" t="n">
        <v>55.75</v>
      </c>
      <c r="F213" s="1" t="n">
        <v>53.08</v>
      </c>
      <c r="G213" s="1" t="n">
        <v>34.48</v>
      </c>
      <c r="H213" s="1" t="n">
        <f aca="false">AVERAGE(B213:G213)</f>
        <v>52.1366666666667</v>
      </c>
      <c r="K213" s="1" t="s">
        <v>289</v>
      </c>
      <c r="L213" s="1" t="n">
        <v>1.88679242134094</v>
      </c>
      <c r="M213" s="1" t="n">
        <v>0.471698105335236</v>
      </c>
      <c r="N213" s="1" t="n">
        <v>0.947867274284363</v>
      </c>
      <c r="O213" s="1" t="n">
        <v>1.88679242134094</v>
      </c>
      <c r="P213" s="1" t="n">
        <v>3.30188679695129</v>
      </c>
      <c r="Q213" s="1" t="n">
        <v>6.37254905700684</v>
      </c>
      <c r="R213" s="1" t="n">
        <v>2.47793101270994</v>
      </c>
    </row>
    <row r="214" customFormat="false" ht="15.75" hidden="false" customHeight="true" outlineLevel="0" collapsed="false">
      <c r="A214" s="1" t="s">
        <v>134</v>
      </c>
      <c r="B214" s="1" t="n">
        <v>14.17</v>
      </c>
      <c r="C214" s="1" t="n">
        <v>14.03</v>
      </c>
      <c r="D214" s="1" t="n">
        <v>21.69</v>
      </c>
      <c r="E214" s="1" t="n">
        <v>26.62</v>
      </c>
      <c r="F214" s="1" t="n">
        <v>30.18</v>
      </c>
      <c r="G214" s="1" t="n">
        <v>25.67</v>
      </c>
      <c r="H214" s="1" t="n">
        <f aca="false">AVERAGE(B214:G214)</f>
        <v>22.06</v>
      </c>
      <c r="K214" s="1" t="s">
        <v>144</v>
      </c>
      <c r="L214" s="1" t="n">
        <v>36.7924537658691</v>
      </c>
      <c r="M214" s="1" t="n">
        <v>27.8301887512207</v>
      </c>
      <c r="N214" s="1" t="n">
        <v>52.1327018737793</v>
      </c>
      <c r="O214" s="1" t="n">
        <v>31.6037731170654</v>
      </c>
      <c r="P214" s="1" t="n">
        <v>33.4905662536621</v>
      </c>
      <c r="Q214" s="1" t="n">
        <v>45.0980377197266</v>
      </c>
      <c r="R214" s="1" t="n">
        <v>37.8246202468872</v>
      </c>
    </row>
    <row r="215" customFormat="false" ht="15.75" hidden="false" customHeight="true" outlineLevel="0" collapsed="false">
      <c r="A215" s="1" t="s">
        <v>144</v>
      </c>
      <c r="B215" s="1" t="n">
        <v>38.86</v>
      </c>
      <c r="C215" s="1" t="n">
        <v>44.37</v>
      </c>
      <c r="D215" s="1" t="n">
        <v>64.56</v>
      </c>
      <c r="E215" s="1" t="n">
        <v>50.52</v>
      </c>
      <c r="F215" s="1" t="n">
        <v>47.69</v>
      </c>
      <c r="G215" s="1" t="n">
        <v>52.1</v>
      </c>
      <c r="H215" s="1" t="n">
        <f aca="false">AVERAGE(B215:G215)</f>
        <v>49.6833333333333</v>
      </c>
      <c r="K215" s="1" t="s">
        <v>99</v>
      </c>
      <c r="L215" s="1" t="n">
        <v>9.90566062927246</v>
      </c>
      <c r="M215" s="1" t="n">
        <v>11.7924528121948</v>
      </c>
      <c r="N215" s="1" t="n">
        <v>15.1658763885498</v>
      </c>
      <c r="O215" s="1" t="n">
        <v>10.3773584365845</v>
      </c>
      <c r="P215" s="1" t="n">
        <v>8.96226406097412</v>
      </c>
      <c r="Q215" s="1" t="n">
        <v>19.1176471710205</v>
      </c>
      <c r="R215" s="1" t="n">
        <v>12.553543249766</v>
      </c>
    </row>
    <row r="216" customFormat="false" ht="15.75" hidden="false" customHeight="true" outlineLevel="0" collapsed="false">
      <c r="A216" s="1" t="s">
        <v>99</v>
      </c>
      <c r="B216" s="1" t="n">
        <v>21.98</v>
      </c>
      <c r="C216" s="1" t="n">
        <v>34.2</v>
      </c>
      <c r="D216" s="1" t="n">
        <v>50.33</v>
      </c>
      <c r="E216" s="1" t="n">
        <v>38.57</v>
      </c>
      <c r="F216" s="1" t="n">
        <v>33.55</v>
      </c>
      <c r="G216" s="1" t="n">
        <v>33.91</v>
      </c>
      <c r="H216" s="1" t="n">
        <f aca="false">AVERAGE(B216:G216)</f>
        <v>35.4233333333333</v>
      </c>
    </row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290</v>
      </c>
      <c r="C1" s="2" t="s">
        <v>166</v>
      </c>
      <c r="D1" s="3" t="s">
        <v>291</v>
      </c>
      <c r="F1" s="1" t="s">
        <v>0</v>
      </c>
      <c r="G1" s="1" t="s">
        <v>292</v>
      </c>
      <c r="H1" s="1" t="s">
        <v>293</v>
      </c>
      <c r="J1" s="1" t="s">
        <v>0</v>
      </c>
      <c r="K1" s="1" t="s">
        <v>294</v>
      </c>
      <c r="L1" s="1" t="s">
        <v>293</v>
      </c>
      <c r="M1" s="1" t="s">
        <v>170</v>
      </c>
      <c r="N1" s="3" t="s">
        <v>295</v>
      </c>
    </row>
    <row r="2" customFormat="false" ht="15.75" hidden="false" customHeight="true" outlineLevel="0" collapsed="false">
      <c r="A2" s="1" t="s">
        <v>213</v>
      </c>
      <c r="B2" s="1" t="n">
        <v>1.64</v>
      </c>
      <c r="C2" s="1" t="n">
        <v>2023</v>
      </c>
      <c r="F2" s="1" t="s">
        <v>143</v>
      </c>
      <c r="G2" s="1" t="n">
        <v>91.9</v>
      </c>
      <c r="H2" s="1" t="n">
        <v>166</v>
      </c>
      <c r="J2" s="1" t="s">
        <v>143</v>
      </c>
      <c r="K2" s="1" t="n">
        <v>93.7</v>
      </c>
      <c r="L2" s="1" t="n">
        <v>169.8</v>
      </c>
    </row>
    <row r="3" customFormat="false" ht="15.75" hidden="false" customHeight="true" outlineLevel="0" collapsed="false">
      <c r="A3" s="1" t="s">
        <v>296</v>
      </c>
      <c r="B3" s="1" t="n">
        <v>2.68</v>
      </c>
      <c r="C3" s="1" t="n">
        <v>2023</v>
      </c>
      <c r="F3" s="1" t="s">
        <v>151</v>
      </c>
      <c r="G3" s="1" t="n">
        <v>89.6</v>
      </c>
      <c r="H3" s="1" t="n">
        <v>161.8</v>
      </c>
      <c r="J3" s="1" t="s">
        <v>151</v>
      </c>
      <c r="K3" s="1" t="n">
        <v>89.8</v>
      </c>
      <c r="L3" s="1" t="n">
        <v>162.2</v>
      </c>
    </row>
    <row r="4" customFormat="false" ht="15.75" hidden="false" customHeight="true" outlineLevel="0" collapsed="false">
      <c r="A4" s="1" t="s">
        <v>208</v>
      </c>
      <c r="B4" s="1" t="n">
        <v>3.47</v>
      </c>
      <c r="C4" s="1" t="n">
        <v>2023</v>
      </c>
      <c r="F4" s="1" t="s">
        <v>132</v>
      </c>
      <c r="G4" s="1" t="n">
        <v>89.2</v>
      </c>
      <c r="H4" s="1" t="n">
        <v>159.5</v>
      </c>
      <c r="J4" s="1" t="s">
        <v>132</v>
      </c>
      <c r="K4" s="1" t="n">
        <v>89.4</v>
      </c>
      <c r="L4" s="1" t="n">
        <v>159.8</v>
      </c>
    </row>
    <row r="5" customFormat="false" ht="15.75" hidden="false" customHeight="true" outlineLevel="0" collapsed="false">
      <c r="A5" s="1" t="s">
        <v>185</v>
      </c>
      <c r="B5" s="1" t="n">
        <v>3.52</v>
      </c>
      <c r="C5" s="1" t="n">
        <v>2023</v>
      </c>
      <c r="F5" s="1" t="s">
        <v>147</v>
      </c>
      <c r="G5" s="1" t="n">
        <v>88</v>
      </c>
      <c r="H5" s="1" t="n">
        <v>160.9</v>
      </c>
      <c r="J5" s="1" t="s">
        <v>160</v>
      </c>
      <c r="K5" s="1" t="n">
        <v>88.2</v>
      </c>
      <c r="L5" s="1" t="n">
        <v>157.5</v>
      </c>
    </row>
    <row r="6" customFormat="false" ht="15.75" hidden="false" customHeight="true" outlineLevel="0" collapsed="false">
      <c r="A6" s="1" t="s">
        <v>219</v>
      </c>
      <c r="B6" s="1" t="n">
        <v>3.87</v>
      </c>
      <c r="C6" s="1" t="n">
        <v>2023</v>
      </c>
      <c r="F6" s="1" t="s">
        <v>160</v>
      </c>
      <c r="G6" s="1" t="n">
        <v>87.2</v>
      </c>
      <c r="H6" s="1" t="n">
        <v>155.7</v>
      </c>
      <c r="J6" s="1" t="s">
        <v>147</v>
      </c>
      <c r="K6" s="1" t="n">
        <v>87.8</v>
      </c>
      <c r="L6" s="1" t="n">
        <v>160.4</v>
      </c>
    </row>
    <row r="7" customFormat="false" ht="15.75" hidden="false" customHeight="true" outlineLevel="0" collapsed="false">
      <c r="A7" s="1" t="s">
        <v>207</v>
      </c>
      <c r="B7" s="1" t="n">
        <v>4.1</v>
      </c>
      <c r="C7" s="1" t="n">
        <v>2023</v>
      </c>
      <c r="F7" s="1" t="s">
        <v>148</v>
      </c>
      <c r="G7" s="1" t="n">
        <v>86.3</v>
      </c>
      <c r="H7" s="1" t="n">
        <v>154.5</v>
      </c>
      <c r="J7" s="1" t="s">
        <v>148</v>
      </c>
      <c r="K7" s="1" t="n">
        <v>87</v>
      </c>
      <c r="L7" s="1" t="n">
        <v>155.8</v>
      </c>
    </row>
    <row r="8" customFormat="false" ht="15.75" hidden="false" customHeight="true" outlineLevel="0" collapsed="false">
      <c r="A8" s="1" t="s">
        <v>172</v>
      </c>
      <c r="B8" s="1" t="n">
        <v>4.33</v>
      </c>
      <c r="C8" s="1" t="n">
        <v>2023</v>
      </c>
      <c r="F8" s="1" t="s">
        <v>107</v>
      </c>
      <c r="G8" s="1" t="n">
        <v>85.2</v>
      </c>
      <c r="H8" s="1" t="n">
        <v>152.2</v>
      </c>
      <c r="J8" s="1" t="s">
        <v>107</v>
      </c>
      <c r="K8" s="1" t="n">
        <v>85.6</v>
      </c>
      <c r="L8" s="1" t="n">
        <v>153</v>
      </c>
    </row>
    <row r="9" customFormat="false" ht="15.75" hidden="false" customHeight="true" outlineLevel="0" collapsed="false">
      <c r="A9" s="1" t="s">
        <v>32</v>
      </c>
      <c r="B9" s="1" t="n">
        <v>4.57</v>
      </c>
      <c r="C9" s="1" t="n">
        <v>2023</v>
      </c>
      <c r="F9" s="1" t="s">
        <v>162</v>
      </c>
      <c r="G9" s="1" t="n">
        <v>84.4</v>
      </c>
      <c r="H9" s="1" t="n">
        <v>150.5</v>
      </c>
      <c r="J9" s="1" t="s">
        <v>162</v>
      </c>
      <c r="K9" s="1" t="n">
        <v>84.4</v>
      </c>
      <c r="L9" s="1" t="n">
        <v>150.5</v>
      </c>
    </row>
    <row r="10" customFormat="false" ht="15.75" hidden="false" customHeight="true" outlineLevel="0" collapsed="false">
      <c r="A10" s="1" t="s">
        <v>218</v>
      </c>
      <c r="B10" s="1" t="n">
        <v>4.58</v>
      </c>
      <c r="C10" s="1" t="n">
        <v>2023</v>
      </c>
      <c r="F10" s="1" t="s">
        <v>110</v>
      </c>
      <c r="G10" s="1" t="n">
        <v>84.4</v>
      </c>
      <c r="H10" s="1" t="n">
        <v>150.1</v>
      </c>
      <c r="J10" s="1" t="s">
        <v>97</v>
      </c>
      <c r="K10" s="1" t="n">
        <v>84.2</v>
      </c>
      <c r="L10" s="1" t="n">
        <v>150.4</v>
      </c>
    </row>
    <row r="11" customFormat="false" ht="15.75" hidden="false" customHeight="true" outlineLevel="0" collapsed="false">
      <c r="A11" s="1" t="s">
        <v>114</v>
      </c>
      <c r="B11" s="1" t="n">
        <v>4.63</v>
      </c>
      <c r="C11" s="1" t="n">
        <v>2023</v>
      </c>
      <c r="F11" s="1" t="s">
        <v>97</v>
      </c>
      <c r="G11" s="1" t="n">
        <v>83.7</v>
      </c>
      <c r="H11" s="1" t="n">
        <v>149.4</v>
      </c>
      <c r="J11" s="1" t="s">
        <v>110</v>
      </c>
      <c r="K11" s="1" t="n">
        <v>84.2</v>
      </c>
      <c r="L11" s="1" t="n">
        <v>149.6</v>
      </c>
    </row>
    <row r="12" customFormat="false" ht="15.75" hidden="false" customHeight="true" outlineLevel="0" collapsed="false">
      <c r="A12" s="1" t="s">
        <v>186</v>
      </c>
      <c r="B12" s="1" t="n">
        <v>4.69</v>
      </c>
      <c r="C12" s="1" t="n">
        <v>2023</v>
      </c>
      <c r="F12" s="1" t="s">
        <v>85</v>
      </c>
      <c r="G12" s="1" t="n">
        <v>82.7</v>
      </c>
      <c r="H12" s="1" t="n">
        <v>147.2</v>
      </c>
      <c r="J12" s="1" t="s">
        <v>112</v>
      </c>
      <c r="K12" s="1" t="n">
        <v>82.7</v>
      </c>
      <c r="L12" s="1" t="n">
        <v>146.8</v>
      </c>
    </row>
    <row r="13" customFormat="false" ht="15.75" hidden="false" customHeight="true" outlineLevel="0" collapsed="false">
      <c r="A13" s="1" t="s">
        <v>273</v>
      </c>
      <c r="B13" s="1" t="n">
        <v>4.84</v>
      </c>
      <c r="C13" s="1" t="n">
        <v>2023</v>
      </c>
      <c r="F13" s="1" t="s">
        <v>112</v>
      </c>
      <c r="G13" s="1" t="n">
        <v>82.6</v>
      </c>
      <c r="H13" s="1" t="n">
        <v>146.6</v>
      </c>
      <c r="J13" s="1" t="s">
        <v>85</v>
      </c>
      <c r="K13" s="1" t="n">
        <v>82.5</v>
      </c>
      <c r="L13" s="1" t="n">
        <v>146.7</v>
      </c>
    </row>
    <row r="14" customFormat="false" ht="15.75" hidden="false" customHeight="true" outlineLevel="0" collapsed="false">
      <c r="A14" s="1" t="s">
        <v>14</v>
      </c>
      <c r="B14" s="1" t="n">
        <v>4.93</v>
      </c>
      <c r="C14" s="1" t="n">
        <v>2023</v>
      </c>
      <c r="F14" s="1" t="s">
        <v>99</v>
      </c>
      <c r="G14" s="1" t="n">
        <v>78.7</v>
      </c>
      <c r="H14" s="1" t="n">
        <v>140.1</v>
      </c>
      <c r="J14" s="1" t="s">
        <v>79</v>
      </c>
      <c r="K14" s="1" t="n">
        <v>79.6</v>
      </c>
      <c r="L14" s="1" t="n">
        <v>144.9</v>
      </c>
    </row>
    <row r="15" customFormat="false" ht="15.75" hidden="false" customHeight="true" outlineLevel="0" collapsed="false">
      <c r="A15" s="1" t="s">
        <v>223</v>
      </c>
      <c r="B15" s="1" t="n">
        <v>4.94</v>
      </c>
      <c r="C15" s="1" t="n">
        <v>2023</v>
      </c>
      <c r="F15" s="1" t="s">
        <v>76</v>
      </c>
      <c r="G15" s="1" t="n">
        <v>77.9</v>
      </c>
      <c r="H15" s="1" t="n">
        <v>136.8</v>
      </c>
      <c r="J15" s="1" t="s">
        <v>99</v>
      </c>
      <c r="K15" s="1" t="n">
        <v>78.4</v>
      </c>
      <c r="L15" s="1" t="n">
        <v>139.6</v>
      </c>
    </row>
    <row r="16" customFormat="false" ht="15.75" hidden="false" customHeight="true" outlineLevel="0" collapsed="false">
      <c r="A16" s="1" t="s">
        <v>179</v>
      </c>
      <c r="B16" s="1" t="n">
        <v>5.22</v>
      </c>
      <c r="C16" s="1" t="n">
        <v>2023</v>
      </c>
      <c r="F16" s="1" t="s">
        <v>87</v>
      </c>
      <c r="G16" s="1" t="n">
        <v>77.5</v>
      </c>
      <c r="H16" s="1" t="n">
        <v>136.2</v>
      </c>
      <c r="J16" s="1" t="s">
        <v>152</v>
      </c>
      <c r="K16" s="1" t="n">
        <v>77.8</v>
      </c>
      <c r="L16" s="1" t="n">
        <v>137.2</v>
      </c>
    </row>
    <row r="17" customFormat="false" ht="15.75" hidden="false" customHeight="true" outlineLevel="0" collapsed="false">
      <c r="A17" s="1" t="s">
        <v>29</v>
      </c>
      <c r="B17" s="1" t="n">
        <v>5.26</v>
      </c>
      <c r="C17" s="1" t="n">
        <v>2023</v>
      </c>
      <c r="F17" s="1" t="s">
        <v>81</v>
      </c>
      <c r="G17" s="1" t="n">
        <v>77.3</v>
      </c>
      <c r="H17" s="1" t="n">
        <v>138.7</v>
      </c>
      <c r="J17" s="1" t="s">
        <v>61</v>
      </c>
      <c r="K17" s="1" t="n">
        <v>77.8</v>
      </c>
      <c r="L17" s="1" t="n">
        <v>141.1</v>
      </c>
    </row>
    <row r="18" customFormat="false" ht="15.75" hidden="false" customHeight="true" outlineLevel="0" collapsed="false">
      <c r="A18" s="1" t="s">
        <v>116</v>
      </c>
      <c r="B18" s="1" t="n">
        <v>5.28</v>
      </c>
      <c r="C18" s="1" t="n">
        <v>2023</v>
      </c>
      <c r="F18" s="1" t="s">
        <v>152</v>
      </c>
      <c r="G18" s="1" t="n">
        <v>77.2</v>
      </c>
      <c r="H18" s="1" t="n">
        <v>135.9</v>
      </c>
      <c r="J18" s="1" t="s">
        <v>174</v>
      </c>
      <c r="K18" s="1" t="n">
        <v>77.7</v>
      </c>
      <c r="L18" s="1" t="n">
        <v>139.1</v>
      </c>
    </row>
    <row r="19" customFormat="false" ht="15.75" hidden="false" customHeight="true" outlineLevel="0" collapsed="false">
      <c r="A19" s="1" t="s">
        <v>16</v>
      </c>
      <c r="B19" s="1" t="n">
        <v>5.52</v>
      </c>
      <c r="C19" s="1" t="n">
        <v>2023</v>
      </c>
      <c r="F19" s="1" t="s">
        <v>75</v>
      </c>
      <c r="G19" s="1" t="n">
        <v>76.9</v>
      </c>
      <c r="H19" s="1" t="n">
        <v>135.3</v>
      </c>
      <c r="J19" s="1" t="s">
        <v>81</v>
      </c>
      <c r="K19" s="1" t="n">
        <v>77.6</v>
      </c>
      <c r="L19" s="1" t="n">
        <v>139.1</v>
      </c>
    </row>
    <row r="20" customFormat="false" ht="15.75" hidden="false" customHeight="true" outlineLevel="0" collapsed="false">
      <c r="A20" s="1" t="s">
        <v>42</v>
      </c>
      <c r="B20" s="1" t="n">
        <v>5.92</v>
      </c>
      <c r="C20" s="1" t="n">
        <v>2023</v>
      </c>
      <c r="F20" s="1" t="s">
        <v>79</v>
      </c>
      <c r="G20" s="1" t="n">
        <v>76.5</v>
      </c>
      <c r="H20" s="1" t="n">
        <v>137.6</v>
      </c>
      <c r="J20" s="1" t="s">
        <v>75</v>
      </c>
      <c r="K20" s="1" t="n">
        <v>77.5</v>
      </c>
      <c r="L20" s="1" t="n">
        <v>136.6</v>
      </c>
    </row>
    <row r="21" customFormat="false" ht="15.75" hidden="false" customHeight="true" outlineLevel="0" collapsed="false">
      <c r="A21" s="1" t="s">
        <v>20</v>
      </c>
      <c r="B21" s="1" t="n">
        <v>6.41</v>
      </c>
      <c r="C21" s="1" t="n">
        <v>2023</v>
      </c>
      <c r="F21" s="1" t="s">
        <v>61</v>
      </c>
      <c r="G21" s="1" t="n">
        <v>76.3</v>
      </c>
      <c r="H21" s="1" t="n">
        <v>138.1</v>
      </c>
      <c r="J21" s="1" t="s">
        <v>76</v>
      </c>
      <c r="K21" s="1" t="n">
        <v>77.2</v>
      </c>
      <c r="L21" s="1" t="n">
        <v>135.5</v>
      </c>
    </row>
    <row r="22" customFormat="false" ht="15.75" hidden="false" customHeight="true" outlineLevel="0" collapsed="false">
      <c r="A22" s="1" t="s">
        <v>141</v>
      </c>
      <c r="B22" s="1" t="n">
        <v>6.45</v>
      </c>
      <c r="C22" s="1" t="n">
        <v>2023</v>
      </c>
      <c r="F22" s="1" t="s">
        <v>46</v>
      </c>
      <c r="G22" s="1" t="n">
        <v>75.9</v>
      </c>
      <c r="H22" s="1" t="n">
        <v>133.1</v>
      </c>
      <c r="J22" s="1" t="s">
        <v>46</v>
      </c>
      <c r="K22" s="1" t="n">
        <v>75.8</v>
      </c>
      <c r="L22" s="1" t="n">
        <v>133</v>
      </c>
    </row>
    <row r="23" customFormat="false" ht="15.75" hidden="false" customHeight="true" outlineLevel="0" collapsed="false">
      <c r="A23" s="1" t="s">
        <v>31</v>
      </c>
      <c r="B23" s="1" t="n">
        <v>6.55</v>
      </c>
      <c r="C23" s="1" t="n">
        <v>2023</v>
      </c>
      <c r="F23" s="1" t="s">
        <v>159</v>
      </c>
      <c r="G23" s="1" t="n">
        <v>75.5</v>
      </c>
      <c r="H23" s="1" t="n">
        <v>132</v>
      </c>
      <c r="J23" s="1" t="s">
        <v>86</v>
      </c>
      <c r="K23" s="1" t="n">
        <v>75.7</v>
      </c>
      <c r="L23" s="1" t="n">
        <v>133.1</v>
      </c>
    </row>
    <row r="24" customFormat="false" ht="15.75" hidden="false" customHeight="true" outlineLevel="0" collapsed="false">
      <c r="A24" s="1" t="s">
        <v>205</v>
      </c>
      <c r="B24" s="1" t="n">
        <v>6.79</v>
      </c>
      <c r="C24" s="1" t="n">
        <v>2023</v>
      </c>
      <c r="F24" s="1" t="s">
        <v>106</v>
      </c>
      <c r="G24" s="1" t="n">
        <v>75.2</v>
      </c>
      <c r="H24" s="1" t="n">
        <v>137.8</v>
      </c>
      <c r="J24" s="1" t="s">
        <v>108</v>
      </c>
      <c r="K24" s="1" t="n">
        <v>75.6</v>
      </c>
      <c r="L24" s="1" t="n">
        <v>134.2</v>
      </c>
    </row>
    <row r="25" customFormat="false" ht="15.75" hidden="false" customHeight="true" outlineLevel="0" collapsed="false">
      <c r="A25" s="1" t="s">
        <v>35</v>
      </c>
      <c r="B25" s="1" t="n">
        <v>6.88</v>
      </c>
      <c r="C25" s="1" t="n">
        <v>2023</v>
      </c>
      <c r="F25" s="1" t="s">
        <v>27</v>
      </c>
      <c r="G25" s="1" t="n">
        <v>74.2</v>
      </c>
      <c r="H25" s="1" t="n">
        <v>134.4</v>
      </c>
      <c r="J25" s="1" t="s">
        <v>106</v>
      </c>
      <c r="K25" s="1" t="n">
        <v>75.3</v>
      </c>
      <c r="L25" s="1" t="n">
        <v>137.9</v>
      </c>
    </row>
    <row r="26" customFormat="false" ht="15.75" hidden="false" customHeight="true" outlineLevel="0" collapsed="false">
      <c r="A26" s="1" t="s">
        <v>297</v>
      </c>
      <c r="B26" s="1" t="n">
        <v>6.92</v>
      </c>
      <c r="C26" s="1" t="n">
        <v>2023</v>
      </c>
      <c r="F26" s="1" t="s">
        <v>136</v>
      </c>
      <c r="G26" s="1" t="n">
        <v>74</v>
      </c>
      <c r="H26" s="1" t="n">
        <v>129.2</v>
      </c>
      <c r="J26" s="1" t="s">
        <v>159</v>
      </c>
      <c r="K26" s="1" t="n">
        <v>74.9</v>
      </c>
      <c r="L26" s="1" t="n">
        <v>130.7</v>
      </c>
    </row>
    <row r="27" customFormat="false" ht="15.75" hidden="false" customHeight="true" outlineLevel="0" collapsed="false">
      <c r="A27" s="1" t="s">
        <v>17</v>
      </c>
      <c r="B27" s="1" t="n">
        <v>6.97</v>
      </c>
      <c r="C27" s="1" t="n">
        <v>2023</v>
      </c>
      <c r="F27" s="1" t="s">
        <v>139</v>
      </c>
      <c r="G27" s="1" t="n">
        <v>73.8</v>
      </c>
      <c r="H27" s="1" t="n">
        <v>129</v>
      </c>
      <c r="J27" s="1" t="s">
        <v>136</v>
      </c>
      <c r="K27" s="1" t="n">
        <v>73.5</v>
      </c>
      <c r="L27" s="1" t="n">
        <v>128.2</v>
      </c>
    </row>
    <row r="28" customFormat="false" ht="15.75" hidden="false" customHeight="true" outlineLevel="0" collapsed="false">
      <c r="A28" s="1" t="s">
        <v>182</v>
      </c>
      <c r="B28" s="1" t="n">
        <v>6.99</v>
      </c>
      <c r="C28" s="1" t="n">
        <v>2023</v>
      </c>
      <c r="F28" s="1" t="s">
        <v>86</v>
      </c>
      <c r="G28" s="1" t="n">
        <v>73.7</v>
      </c>
      <c r="H28" s="1" t="n">
        <v>128.9</v>
      </c>
      <c r="J28" s="1" t="s">
        <v>139</v>
      </c>
      <c r="K28" s="1" t="n">
        <v>73.2</v>
      </c>
      <c r="L28" s="1" t="n">
        <v>127.9</v>
      </c>
    </row>
    <row r="29" customFormat="false" ht="15.75" hidden="false" customHeight="true" outlineLevel="0" collapsed="false">
      <c r="A29" s="1" t="s">
        <v>13</v>
      </c>
      <c r="B29" s="1" t="n">
        <v>7.43</v>
      </c>
      <c r="C29" s="1" t="n">
        <v>2023</v>
      </c>
      <c r="F29" s="1" t="s">
        <v>108</v>
      </c>
      <c r="G29" s="1" t="n">
        <v>73.4</v>
      </c>
      <c r="H29" s="1" t="n">
        <v>129.7</v>
      </c>
      <c r="J29" s="1" t="s">
        <v>80</v>
      </c>
      <c r="K29" s="1" t="n">
        <v>73.2</v>
      </c>
      <c r="L29" s="1" t="n">
        <v>132.8</v>
      </c>
    </row>
    <row r="30" customFormat="false" ht="15.75" hidden="false" customHeight="true" outlineLevel="0" collapsed="false">
      <c r="A30" s="1" t="s">
        <v>18</v>
      </c>
      <c r="B30" s="1" t="n">
        <v>7.5</v>
      </c>
      <c r="C30" s="1" t="n">
        <v>2023</v>
      </c>
      <c r="F30" s="1" t="s">
        <v>111</v>
      </c>
      <c r="G30" s="1" t="n">
        <v>73</v>
      </c>
      <c r="H30" s="1" t="n">
        <v>127.4</v>
      </c>
      <c r="J30" s="1" t="s">
        <v>111</v>
      </c>
      <c r="K30" s="1" t="n">
        <v>73.2</v>
      </c>
      <c r="L30" s="1" t="n">
        <v>127.6</v>
      </c>
    </row>
    <row r="31" customFormat="false" ht="15.75" hidden="false" customHeight="true" outlineLevel="0" collapsed="false">
      <c r="A31" s="1" t="s">
        <v>24</v>
      </c>
      <c r="B31" s="1" t="n">
        <v>7.51</v>
      </c>
      <c r="C31" s="1" t="n">
        <v>2023</v>
      </c>
      <c r="F31" s="1" t="s">
        <v>80</v>
      </c>
      <c r="G31" s="1" t="n">
        <v>73</v>
      </c>
      <c r="H31" s="1" t="n">
        <v>132</v>
      </c>
      <c r="J31" s="1" t="s">
        <v>87</v>
      </c>
      <c r="K31" s="1" t="n">
        <v>73</v>
      </c>
      <c r="L31" s="1" t="n">
        <v>127.2</v>
      </c>
    </row>
    <row r="32" customFormat="false" ht="15.75" hidden="false" customHeight="true" outlineLevel="0" collapsed="false">
      <c r="A32" s="1" t="s">
        <v>135</v>
      </c>
      <c r="B32" s="1" t="n">
        <v>7.57</v>
      </c>
      <c r="C32" s="1" t="n">
        <v>2023</v>
      </c>
      <c r="F32" s="1" t="s">
        <v>96</v>
      </c>
      <c r="G32" s="1" t="n">
        <v>72.8</v>
      </c>
      <c r="H32" s="1" t="n">
        <v>127.1</v>
      </c>
      <c r="J32" s="1" t="s">
        <v>96</v>
      </c>
      <c r="K32" s="1" t="n">
        <v>72.8</v>
      </c>
      <c r="L32" s="1" t="n">
        <v>127.1</v>
      </c>
    </row>
    <row r="33" customFormat="false" ht="15.75" hidden="false" customHeight="true" outlineLevel="0" collapsed="false">
      <c r="A33" s="1" t="s">
        <v>36</v>
      </c>
      <c r="B33" s="1" t="n">
        <v>7.84</v>
      </c>
      <c r="C33" s="1" t="n">
        <v>2023</v>
      </c>
      <c r="F33" s="1" t="s">
        <v>104</v>
      </c>
      <c r="G33" s="1" t="n">
        <v>72.6</v>
      </c>
      <c r="H33" s="1" t="n">
        <v>127</v>
      </c>
      <c r="J33" s="1" t="s">
        <v>95</v>
      </c>
      <c r="K33" s="1" t="n">
        <v>72.7</v>
      </c>
      <c r="L33" s="1" t="n">
        <v>127</v>
      </c>
    </row>
    <row r="34" customFormat="false" ht="15.75" hidden="false" customHeight="true" outlineLevel="0" collapsed="false">
      <c r="A34" s="1" t="s">
        <v>34</v>
      </c>
      <c r="B34" s="1" t="n">
        <v>8.23</v>
      </c>
      <c r="C34" s="1" t="n">
        <v>2023</v>
      </c>
      <c r="F34" s="1" t="s">
        <v>102</v>
      </c>
      <c r="G34" s="1" t="n">
        <v>72.4</v>
      </c>
      <c r="H34" s="1" t="n">
        <v>126.9</v>
      </c>
      <c r="J34" s="1" t="s">
        <v>102</v>
      </c>
      <c r="K34" s="1" t="n">
        <v>72.6</v>
      </c>
      <c r="L34" s="1" t="n">
        <v>127.4</v>
      </c>
    </row>
    <row r="35" customFormat="false" ht="15.75" hidden="false" customHeight="true" outlineLevel="0" collapsed="false">
      <c r="A35" s="1" t="s">
        <v>12</v>
      </c>
      <c r="B35" s="1" t="n">
        <v>8.32</v>
      </c>
      <c r="C35" s="1" t="n">
        <v>2023</v>
      </c>
      <c r="F35" s="1" t="s">
        <v>93</v>
      </c>
      <c r="G35" s="1" t="n">
        <v>72.3</v>
      </c>
      <c r="H35" s="1" t="n">
        <v>134.3</v>
      </c>
      <c r="J35" s="1" t="s">
        <v>92</v>
      </c>
      <c r="K35" s="1" t="n">
        <v>72.5</v>
      </c>
      <c r="L35" s="1" t="n">
        <v>126.2</v>
      </c>
    </row>
    <row r="36" customFormat="false" ht="15.75" hidden="false" customHeight="true" outlineLevel="0" collapsed="false">
      <c r="A36" s="1" t="s">
        <v>222</v>
      </c>
      <c r="B36" s="1" t="n">
        <v>8.42</v>
      </c>
      <c r="C36" s="1" t="n">
        <v>2023</v>
      </c>
      <c r="F36" s="1" t="s">
        <v>95</v>
      </c>
      <c r="G36" s="1" t="n">
        <v>72</v>
      </c>
      <c r="H36" s="1" t="n">
        <v>125.6</v>
      </c>
      <c r="J36" s="1" t="s">
        <v>104</v>
      </c>
      <c r="K36" s="1" t="n">
        <v>71.9</v>
      </c>
      <c r="L36" s="1" t="n">
        <v>125.7</v>
      </c>
    </row>
    <row r="37" customFormat="false" ht="15.75" hidden="false" customHeight="true" outlineLevel="0" collapsed="false">
      <c r="A37" s="1" t="s">
        <v>30</v>
      </c>
      <c r="B37" s="1" t="n">
        <v>8.45</v>
      </c>
      <c r="C37" s="1" t="n">
        <v>2023</v>
      </c>
      <c r="F37" s="1" t="s">
        <v>174</v>
      </c>
      <c r="G37" s="1" t="n">
        <v>71.6</v>
      </c>
      <c r="H37" s="1" t="n">
        <v>126.9</v>
      </c>
      <c r="J37" s="1" t="s">
        <v>39</v>
      </c>
      <c r="K37" s="1" t="n">
        <v>71.6</v>
      </c>
      <c r="L37" s="1" t="n">
        <v>129.3</v>
      </c>
    </row>
    <row r="38" customFormat="false" ht="15.75" hidden="false" customHeight="true" outlineLevel="0" collapsed="false">
      <c r="A38" s="1" t="s">
        <v>21</v>
      </c>
      <c r="B38" s="1" t="n">
        <v>8.59</v>
      </c>
      <c r="C38" s="1" t="n">
        <v>2023</v>
      </c>
      <c r="F38" s="1" t="s">
        <v>39</v>
      </c>
      <c r="G38" s="1" t="n">
        <v>71.6</v>
      </c>
      <c r="H38" s="1" t="n">
        <v>129.3</v>
      </c>
      <c r="J38" s="1" t="s">
        <v>101</v>
      </c>
      <c r="K38" s="1" t="n">
        <v>70.2</v>
      </c>
      <c r="L38" s="1" t="n">
        <v>122.2</v>
      </c>
    </row>
    <row r="39" customFormat="false" ht="15.75" hidden="false" customHeight="true" outlineLevel="0" collapsed="false">
      <c r="A39" s="1" t="s">
        <v>54</v>
      </c>
      <c r="B39" s="1" t="n">
        <v>8.77</v>
      </c>
      <c r="C39" s="1" t="n">
        <v>2023</v>
      </c>
      <c r="F39" s="1" t="s">
        <v>92</v>
      </c>
      <c r="G39" s="1" t="n">
        <v>70.4</v>
      </c>
      <c r="H39" s="1" t="n">
        <v>122.1</v>
      </c>
      <c r="J39" s="1" t="s">
        <v>27</v>
      </c>
      <c r="K39" s="1" t="n">
        <v>69.4</v>
      </c>
      <c r="L39" s="1" t="n">
        <v>122.7</v>
      </c>
    </row>
    <row r="40" customFormat="false" ht="15.75" hidden="false" customHeight="true" outlineLevel="0" collapsed="false">
      <c r="A40" s="1" t="s">
        <v>25</v>
      </c>
      <c r="B40" s="1" t="n">
        <v>8.81</v>
      </c>
      <c r="C40" s="1" t="n">
        <v>2023</v>
      </c>
      <c r="F40" s="1" t="s">
        <v>101</v>
      </c>
      <c r="G40" s="1" t="n">
        <v>69.3</v>
      </c>
      <c r="H40" s="1" t="n">
        <v>120.5</v>
      </c>
      <c r="J40" s="1" t="s">
        <v>100</v>
      </c>
      <c r="K40" s="1" t="n">
        <v>69</v>
      </c>
      <c r="L40" s="1" t="n">
        <v>120.8</v>
      </c>
    </row>
    <row r="41" customFormat="false" ht="15.75" hidden="false" customHeight="true" outlineLevel="0" collapsed="false">
      <c r="A41" s="1" t="s">
        <v>238</v>
      </c>
      <c r="B41" s="1" t="n">
        <v>8.87</v>
      </c>
      <c r="C41" s="1" t="n">
        <v>2023</v>
      </c>
      <c r="F41" s="1" t="s">
        <v>100</v>
      </c>
      <c r="G41" s="1" t="n">
        <v>69.2</v>
      </c>
      <c r="H41" s="1" t="n">
        <v>121.1</v>
      </c>
      <c r="J41" s="1" t="s">
        <v>94</v>
      </c>
      <c r="K41" s="1" t="n">
        <v>68.7</v>
      </c>
      <c r="L41" s="1" t="n">
        <v>119.3</v>
      </c>
    </row>
    <row r="42" customFormat="false" ht="15.75" hidden="false" customHeight="true" outlineLevel="0" collapsed="false">
      <c r="A42" s="1" t="s">
        <v>173</v>
      </c>
      <c r="B42" s="1" t="n">
        <v>8.88</v>
      </c>
      <c r="C42" s="1" t="n">
        <v>2023</v>
      </c>
      <c r="F42" s="1" t="s">
        <v>94</v>
      </c>
      <c r="G42" s="1" t="n">
        <v>68.7</v>
      </c>
      <c r="H42" s="1" t="n">
        <v>119.1</v>
      </c>
      <c r="J42" s="1" t="s">
        <v>84</v>
      </c>
      <c r="K42" s="1" t="n">
        <v>68.6</v>
      </c>
      <c r="L42" s="1" t="n">
        <v>123.2</v>
      </c>
    </row>
    <row r="43" customFormat="false" ht="15.75" hidden="false" customHeight="true" outlineLevel="0" collapsed="false">
      <c r="A43" s="1" t="s">
        <v>123</v>
      </c>
      <c r="B43" s="1" t="n">
        <v>9.26</v>
      </c>
      <c r="C43" s="1" t="n">
        <v>2023</v>
      </c>
      <c r="F43" s="1" t="s">
        <v>84</v>
      </c>
      <c r="G43" s="1" t="n">
        <v>68.6</v>
      </c>
      <c r="H43" s="1" t="n">
        <v>123.1</v>
      </c>
      <c r="J43" s="1" t="s">
        <v>105</v>
      </c>
      <c r="K43" s="1" t="n">
        <v>67.6</v>
      </c>
      <c r="L43" s="1" t="n">
        <v>116.8</v>
      </c>
    </row>
    <row r="44" customFormat="false" ht="15.75" hidden="false" customHeight="true" outlineLevel="0" collapsed="false">
      <c r="A44" s="1" t="s">
        <v>113</v>
      </c>
      <c r="B44" s="1" t="n">
        <v>9.45</v>
      </c>
      <c r="C44" s="1" t="n">
        <v>2023</v>
      </c>
      <c r="F44" s="1" t="s">
        <v>130</v>
      </c>
      <c r="G44" s="1" t="n">
        <v>66.8</v>
      </c>
      <c r="H44" s="1" t="n">
        <v>115.5</v>
      </c>
      <c r="J44" s="1" t="s">
        <v>26</v>
      </c>
      <c r="K44" s="1" t="n">
        <v>67</v>
      </c>
      <c r="L44" s="1" t="n">
        <v>118.8</v>
      </c>
    </row>
    <row r="45" customFormat="false" ht="15.75" hidden="false" customHeight="true" outlineLevel="0" collapsed="false">
      <c r="A45" s="1" t="s">
        <v>23</v>
      </c>
      <c r="B45" s="1" t="n">
        <v>9.46</v>
      </c>
      <c r="C45" s="1" t="n">
        <v>2023</v>
      </c>
      <c r="F45" s="1" t="s">
        <v>26</v>
      </c>
      <c r="G45" s="1" t="n">
        <v>66.3</v>
      </c>
      <c r="H45" s="1" t="n">
        <v>117.7</v>
      </c>
      <c r="J45" s="1" t="s">
        <v>130</v>
      </c>
      <c r="K45" s="1" t="n">
        <v>66.7</v>
      </c>
      <c r="L45" s="1" t="n">
        <v>115.4</v>
      </c>
    </row>
    <row r="46" customFormat="false" ht="15.75" hidden="false" customHeight="true" outlineLevel="0" collapsed="false">
      <c r="A46" s="1" t="s">
        <v>119</v>
      </c>
      <c r="B46" s="1" t="n">
        <v>9.77</v>
      </c>
      <c r="C46" s="1" t="n">
        <v>2023</v>
      </c>
      <c r="F46" s="1" t="s">
        <v>105</v>
      </c>
      <c r="G46" s="1" t="n">
        <v>66.1</v>
      </c>
      <c r="H46" s="1" t="n">
        <v>113.9</v>
      </c>
      <c r="J46" s="1" t="s">
        <v>126</v>
      </c>
      <c r="K46" s="1" t="n">
        <v>66.3</v>
      </c>
      <c r="L46" s="1" t="n">
        <v>115.4</v>
      </c>
    </row>
    <row r="47" customFormat="false" ht="15.75" hidden="false" customHeight="true" outlineLevel="0" collapsed="false">
      <c r="A47" s="1" t="s">
        <v>28</v>
      </c>
      <c r="B47" s="1" t="n">
        <v>10.03</v>
      </c>
      <c r="C47" s="1" t="n">
        <v>2023</v>
      </c>
      <c r="F47" s="1" t="s">
        <v>44</v>
      </c>
      <c r="G47" s="1" t="n">
        <v>65.7</v>
      </c>
      <c r="H47" s="1" t="n">
        <v>117.1</v>
      </c>
      <c r="J47" s="1" t="s">
        <v>67</v>
      </c>
      <c r="K47" s="1" t="n">
        <v>65.2</v>
      </c>
      <c r="L47" s="1" t="n">
        <v>114.8</v>
      </c>
    </row>
    <row r="48" customFormat="false" ht="15.75" hidden="false" customHeight="true" outlineLevel="0" collapsed="false">
      <c r="A48" s="1" t="s">
        <v>41</v>
      </c>
      <c r="B48" s="1" t="n">
        <v>10.08</v>
      </c>
      <c r="C48" s="1" t="n">
        <v>2023</v>
      </c>
      <c r="F48" s="1" t="s">
        <v>126</v>
      </c>
      <c r="G48" s="1" t="n">
        <v>65.6</v>
      </c>
      <c r="H48" s="1" t="n">
        <v>114.1</v>
      </c>
      <c r="J48" s="1" t="s">
        <v>48</v>
      </c>
      <c r="K48" s="1" t="n">
        <v>64.5</v>
      </c>
      <c r="L48" s="1" t="n">
        <v>112</v>
      </c>
    </row>
    <row r="49" customFormat="false" ht="15.75" hidden="false" customHeight="true" outlineLevel="0" collapsed="false">
      <c r="A49" s="1" t="s">
        <v>258</v>
      </c>
      <c r="B49" s="1" t="n">
        <v>10.17</v>
      </c>
      <c r="C49" s="1" t="n">
        <v>2023</v>
      </c>
      <c r="F49" s="1" t="s">
        <v>67</v>
      </c>
      <c r="G49" s="1" t="n">
        <v>65.2</v>
      </c>
      <c r="H49" s="1" t="n">
        <v>114.6</v>
      </c>
      <c r="J49" s="1" t="s">
        <v>62</v>
      </c>
      <c r="K49" s="1" t="n">
        <v>64.3</v>
      </c>
      <c r="L49" s="1" t="n">
        <v>111.2</v>
      </c>
    </row>
    <row r="50" customFormat="false" ht="15.75" hidden="false" customHeight="true" outlineLevel="0" collapsed="false">
      <c r="A50" s="1" t="s">
        <v>236</v>
      </c>
      <c r="B50" s="1" t="n">
        <v>10.43</v>
      </c>
      <c r="C50" s="1" t="n">
        <v>2023</v>
      </c>
      <c r="F50" s="1" t="s">
        <v>48</v>
      </c>
      <c r="G50" s="1" t="n">
        <v>64.1</v>
      </c>
      <c r="H50" s="1" t="n">
        <v>111.2</v>
      </c>
      <c r="J50" s="1" t="s">
        <v>103</v>
      </c>
      <c r="K50" s="1" t="n">
        <v>63.7</v>
      </c>
      <c r="L50" s="1" t="n">
        <v>110.9</v>
      </c>
    </row>
    <row r="51" customFormat="false" ht="15.75" hidden="false" customHeight="true" outlineLevel="0" collapsed="false">
      <c r="A51" s="1" t="s">
        <v>237</v>
      </c>
      <c r="B51" s="1" t="n">
        <v>10.6</v>
      </c>
      <c r="C51" s="1" t="n">
        <v>2023</v>
      </c>
      <c r="F51" s="1" t="s">
        <v>62</v>
      </c>
      <c r="G51" s="1" t="n">
        <v>63.8</v>
      </c>
      <c r="H51" s="1" t="n">
        <v>110</v>
      </c>
      <c r="J51" s="1" t="s">
        <v>158</v>
      </c>
      <c r="K51" s="1" t="n">
        <v>63.5</v>
      </c>
      <c r="L51" s="1" t="n">
        <v>111.2</v>
      </c>
    </row>
    <row r="52" customFormat="false" ht="15.75" hidden="false" customHeight="true" outlineLevel="0" collapsed="false">
      <c r="A52" s="1" t="s">
        <v>50</v>
      </c>
      <c r="B52" s="1" t="n">
        <v>10.75</v>
      </c>
      <c r="C52" s="1" t="n">
        <v>2023</v>
      </c>
      <c r="F52" s="1" t="s">
        <v>103</v>
      </c>
      <c r="G52" s="1" t="n">
        <v>63.7</v>
      </c>
      <c r="H52" s="1" t="n">
        <v>110.9</v>
      </c>
      <c r="J52" s="1" t="s">
        <v>58</v>
      </c>
      <c r="K52" s="1" t="n">
        <v>63.1</v>
      </c>
      <c r="L52" s="1" t="n">
        <v>113.8</v>
      </c>
    </row>
    <row r="53" customFormat="false" ht="15.75" hidden="false" customHeight="true" outlineLevel="0" collapsed="false">
      <c r="A53" s="1" t="s">
        <v>46</v>
      </c>
      <c r="B53" s="1" t="n">
        <v>10.81</v>
      </c>
      <c r="C53" s="1" t="n">
        <v>2023</v>
      </c>
      <c r="F53" s="1" t="s">
        <v>90</v>
      </c>
      <c r="G53" s="1" t="n">
        <v>62.2</v>
      </c>
      <c r="H53" s="1" t="n">
        <v>107</v>
      </c>
      <c r="J53" s="1" t="s">
        <v>82</v>
      </c>
      <c r="K53" s="1" t="n">
        <v>62.6</v>
      </c>
      <c r="L53" s="1" t="n">
        <v>110.4</v>
      </c>
    </row>
    <row r="54" customFormat="false" ht="15.75" hidden="false" customHeight="true" outlineLevel="0" collapsed="false">
      <c r="A54" s="1" t="s">
        <v>60</v>
      </c>
      <c r="B54" s="1" t="n">
        <v>10.85</v>
      </c>
      <c r="C54" s="1" t="n">
        <v>2023</v>
      </c>
      <c r="F54" s="1" t="s">
        <v>158</v>
      </c>
      <c r="G54" s="1" t="n">
        <v>62</v>
      </c>
      <c r="H54" s="1" t="n">
        <v>108.9</v>
      </c>
      <c r="J54" s="1" t="s">
        <v>77</v>
      </c>
      <c r="K54" s="1" t="n">
        <v>62.6</v>
      </c>
      <c r="L54" s="1" t="n">
        <v>114.1</v>
      </c>
    </row>
    <row r="55" customFormat="false" ht="15.75" hidden="false" customHeight="true" outlineLevel="0" collapsed="false">
      <c r="A55" s="1" t="s">
        <v>190</v>
      </c>
      <c r="B55" s="1" t="n">
        <v>10.91</v>
      </c>
      <c r="C55" s="1" t="n">
        <v>2023</v>
      </c>
      <c r="F55" s="1" t="s">
        <v>82</v>
      </c>
      <c r="G55" s="1" t="n">
        <v>62</v>
      </c>
      <c r="H55" s="1" t="n">
        <v>109</v>
      </c>
      <c r="J55" s="1" t="s">
        <v>74</v>
      </c>
      <c r="K55" s="1" t="n">
        <v>62.6</v>
      </c>
      <c r="L55" s="1" t="n">
        <v>108.4</v>
      </c>
    </row>
    <row r="56" customFormat="false" ht="15.75" hidden="false" customHeight="true" outlineLevel="0" collapsed="false">
      <c r="A56" s="1" t="s">
        <v>226</v>
      </c>
      <c r="B56" s="1" t="n">
        <v>11.03</v>
      </c>
      <c r="C56" s="1" t="n">
        <v>2023</v>
      </c>
      <c r="F56" s="1" t="s">
        <v>77</v>
      </c>
      <c r="G56" s="1" t="n">
        <v>61.5</v>
      </c>
      <c r="H56" s="1" t="n">
        <v>113.2</v>
      </c>
      <c r="J56" s="1" t="s">
        <v>44</v>
      </c>
      <c r="K56" s="1" t="n">
        <v>62.5</v>
      </c>
      <c r="L56" s="1" t="n">
        <v>109.3</v>
      </c>
    </row>
    <row r="57" customFormat="false" ht="15.75" hidden="false" customHeight="true" outlineLevel="0" collapsed="false">
      <c r="A57" s="1" t="s">
        <v>129</v>
      </c>
      <c r="B57" s="1" t="n">
        <v>11.16</v>
      </c>
      <c r="C57" s="1" t="n">
        <v>2023</v>
      </c>
      <c r="F57" s="1" t="s">
        <v>89</v>
      </c>
      <c r="G57" s="1" t="n">
        <v>61.1</v>
      </c>
      <c r="H57" s="1" t="n">
        <v>106.2</v>
      </c>
      <c r="J57" s="1" t="s">
        <v>90</v>
      </c>
      <c r="K57" s="1" t="n">
        <v>62.1</v>
      </c>
      <c r="L57" s="1" t="n">
        <v>106.9</v>
      </c>
    </row>
    <row r="58" customFormat="false" ht="15.75" hidden="false" customHeight="true" outlineLevel="0" collapsed="false">
      <c r="A58" s="1" t="s">
        <v>174</v>
      </c>
      <c r="B58" s="1" t="n">
        <v>11.38</v>
      </c>
      <c r="C58" s="1" t="n">
        <v>2023</v>
      </c>
      <c r="F58" s="1" t="s">
        <v>74</v>
      </c>
      <c r="G58" s="1" t="n">
        <v>60.9</v>
      </c>
      <c r="H58" s="1" t="n">
        <v>105.2</v>
      </c>
      <c r="J58" s="1" t="s">
        <v>68</v>
      </c>
      <c r="K58" s="1" t="n">
        <v>61.4</v>
      </c>
      <c r="L58" s="1" t="n">
        <v>104.7</v>
      </c>
    </row>
    <row r="59" customFormat="false" ht="15.75" hidden="false" customHeight="true" outlineLevel="0" collapsed="false">
      <c r="A59" s="1" t="s">
        <v>40</v>
      </c>
      <c r="B59" s="1" t="n">
        <v>11.45</v>
      </c>
      <c r="C59" s="1" t="n">
        <v>2023</v>
      </c>
      <c r="F59" s="1" t="s">
        <v>68</v>
      </c>
      <c r="G59" s="1" t="n">
        <v>60.6</v>
      </c>
      <c r="H59" s="1" t="n">
        <v>103.1</v>
      </c>
      <c r="J59" s="1" t="s">
        <v>38</v>
      </c>
      <c r="K59" s="1" t="n">
        <v>61.4</v>
      </c>
      <c r="L59" s="1" t="n">
        <v>112</v>
      </c>
    </row>
    <row r="60" customFormat="false" ht="15.75" hidden="false" customHeight="true" outlineLevel="0" collapsed="false">
      <c r="A60" s="1" t="s">
        <v>233</v>
      </c>
      <c r="B60" s="1" t="n">
        <v>11.52</v>
      </c>
      <c r="C60" s="1" t="n">
        <v>2023</v>
      </c>
      <c r="F60" s="1" t="s">
        <v>19</v>
      </c>
      <c r="G60" s="1" t="n">
        <v>60.4</v>
      </c>
      <c r="H60" s="1" t="n">
        <v>107.5</v>
      </c>
      <c r="J60" s="1" t="s">
        <v>19</v>
      </c>
      <c r="K60" s="1" t="n">
        <v>60</v>
      </c>
      <c r="L60" s="1" t="n">
        <v>106</v>
      </c>
    </row>
    <row r="61" customFormat="false" ht="15.75" hidden="false" customHeight="true" outlineLevel="0" collapsed="false">
      <c r="A61" s="1" t="s">
        <v>66</v>
      </c>
      <c r="B61" s="1" t="n">
        <v>11.57</v>
      </c>
      <c r="C61" s="1" t="n">
        <v>2023</v>
      </c>
      <c r="F61" s="1" t="s">
        <v>66</v>
      </c>
      <c r="G61" s="1" t="n">
        <v>58.7</v>
      </c>
      <c r="H61" s="1" t="n">
        <v>100.2</v>
      </c>
      <c r="J61" s="1" t="s">
        <v>69</v>
      </c>
      <c r="K61" s="1" t="n">
        <v>59.8</v>
      </c>
      <c r="L61" s="1" t="n">
        <v>105.6</v>
      </c>
    </row>
    <row r="62" customFormat="false" ht="15.75" hidden="false" customHeight="true" outlineLevel="0" collapsed="false">
      <c r="A62" s="1" t="s">
        <v>78</v>
      </c>
      <c r="B62" s="1" t="n">
        <v>11.98</v>
      </c>
      <c r="C62" s="1" t="n">
        <v>2023</v>
      </c>
      <c r="F62" s="1" t="s">
        <v>69</v>
      </c>
      <c r="G62" s="1" t="n">
        <v>58.6</v>
      </c>
      <c r="H62" s="1" t="n">
        <v>102.3</v>
      </c>
      <c r="J62" s="1" t="s">
        <v>66</v>
      </c>
      <c r="K62" s="1" t="n">
        <v>59.3</v>
      </c>
      <c r="L62" s="1" t="n">
        <v>101.3</v>
      </c>
    </row>
    <row r="63" customFormat="false" ht="15.75" hidden="false" customHeight="true" outlineLevel="0" collapsed="false">
      <c r="A63" s="1" t="s">
        <v>206</v>
      </c>
      <c r="B63" s="1" t="n">
        <v>11.99</v>
      </c>
      <c r="C63" s="1" t="n">
        <v>2023</v>
      </c>
      <c r="F63" s="1" t="s">
        <v>88</v>
      </c>
      <c r="G63" s="1" t="n">
        <v>58.5</v>
      </c>
      <c r="H63" s="1" t="n">
        <v>99.8</v>
      </c>
      <c r="J63" s="1" t="s">
        <v>88</v>
      </c>
      <c r="K63" s="1" t="n">
        <v>58.8</v>
      </c>
      <c r="L63" s="1" t="n">
        <v>100.5</v>
      </c>
    </row>
    <row r="64" customFormat="false" ht="15.75" hidden="false" customHeight="true" outlineLevel="0" collapsed="false">
      <c r="A64" s="1" t="s">
        <v>161</v>
      </c>
      <c r="B64" s="1" t="n">
        <v>12.39</v>
      </c>
      <c r="C64" s="1" t="n">
        <v>2023</v>
      </c>
      <c r="F64" s="1" t="s">
        <v>73</v>
      </c>
      <c r="G64" s="1" t="n">
        <v>58.2</v>
      </c>
      <c r="H64" s="1" t="n">
        <v>98.6</v>
      </c>
      <c r="J64" s="1" t="s">
        <v>65</v>
      </c>
      <c r="K64" s="1" t="n">
        <v>58.8</v>
      </c>
      <c r="L64" s="1" t="n">
        <v>100.5</v>
      </c>
    </row>
    <row r="65" customFormat="false" ht="15.75" hidden="false" customHeight="true" outlineLevel="0" collapsed="false">
      <c r="A65" s="1" t="s">
        <v>49</v>
      </c>
      <c r="B65" s="1" t="n">
        <v>12.56</v>
      </c>
      <c r="C65" s="1" t="n">
        <v>2023</v>
      </c>
      <c r="F65" s="1" t="s">
        <v>109</v>
      </c>
      <c r="G65" s="1" t="n">
        <v>58.2</v>
      </c>
      <c r="H65" s="1" t="n">
        <v>99.4</v>
      </c>
      <c r="J65" s="1" t="s">
        <v>109</v>
      </c>
      <c r="K65" s="1" t="n">
        <v>58.5</v>
      </c>
      <c r="L65" s="1" t="n">
        <v>99.9</v>
      </c>
    </row>
    <row r="66" customFormat="false" ht="15.75" hidden="false" customHeight="true" outlineLevel="0" collapsed="false">
      <c r="A66" s="1" t="s">
        <v>178</v>
      </c>
      <c r="B66" s="1" t="n">
        <v>12.74</v>
      </c>
      <c r="C66" s="1" t="n">
        <v>2023</v>
      </c>
      <c r="F66" s="1" t="s">
        <v>58</v>
      </c>
      <c r="G66" s="1" t="n">
        <v>57.8</v>
      </c>
      <c r="H66" s="1" t="n">
        <v>101.2</v>
      </c>
      <c r="J66" s="1" t="s">
        <v>73</v>
      </c>
      <c r="K66" s="1" t="n">
        <v>58.2</v>
      </c>
      <c r="L66" s="1" t="n">
        <v>98.8</v>
      </c>
    </row>
    <row r="67" customFormat="false" ht="15.75" hidden="false" customHeight="true" outlineLevel="0" collapsed="false">
      <c r="A67" s="1" t="s">
        <v>47</v>
      </c>
      <c r="B67" s="1" t="n">
        <v>12.75</v>
      </c>
      <c r="C67" s="1" t="n">
        <v>2023</v>
      </c>
      <c r="F67" s="1" t="s">
        <v>53</v>
      </c>
      <c r="G67" s="1" t="n">
        <v>57.4</v>
      </c>
      <c r="H67" s="1" t="n">
        <v>97.9</v>
      </c>
      <c r="J67" s="1" t="s">
        <v>22</v>
      </c>
      <c r="K67" s="1" t="n">
        <v>56.8</v>
      </c>
      <c r="L67" s="1" t="n">
        <v>100.6</v>
      </c>
    </row>
    <row r="68" customFormat="false" ht="15.75" hidden="false" customHeight="true" outlineLevel="0" collapsed="false">
      <c r="A68" s="1" t="s">
        <v>57</v>
      </c>
      <c r="B68" s="1" t="n">
        <v>13.01</v>
      </c>
      <c r="C68" s="1" t="n">
        <v>2023</v>
      </c>
      <c r="F68" s="1" t="s">
        <v>22</v>
      </c>
      <c r="G68" s="1" t="n">
        <v>57.2</v>
      </c>
      <c r="H68" s="1" t="n">
        <v>101.4</v>
      </c>
      <c r="J68" s="1" t="s">
        <v>53</v>
      </c>
      <c r="K68" s="1" t="n">
        <v>56.7</v>
      </c>
      <c r="L68" s="1" t="n">
        <v>96.7</v>
      </c>
    </row>
    <row r="69" customFormat="false" ht="15.75" hidden="false" customHeight="true" outlineLevel="0" collapsed="false">
      <c r="A69" s="1" t="s">
        <v>156</v>
      </c>
      <c r="B69" s="1" t="n">
        <v>13.24</v>
      </c>
      <c r="C69" s="1" t="n">
        <v>2023</v>
      </c>
      <c r="F69" s="1" t="s">
        <v>70</v>
      </c>
      <c r="G69" s="1" t="n">
        <v>56</v>
      </c>
      <c r="H69" s="1" t="n">
        <v>97.2</v>
      </c>
      <c r="J69" s="1" t="s">
        <v>70</v>
      </c>
      <c r="K69" s="1" t="n">
        <v>55.6</v>
      </c>
      <c r="L69" s="1" t="n">
        <v>96.6</v>
      </c>
    </row>
    <row r="70" customFormat="false" ht="15.75" hidden="false" customHeight="true" outlineLevel="0" collapsed="false">
      <c r="A70" s="1" t="s">
        <v>91</v>
      </c>
      <c r="B70" s="1" t="n">
        <v>13.38</v>
      </c>
      <c r="C70" s="1" t="n">
        <v>2023</v>
      </c>
      <c r="F70" s="1" t="s">
        <v>65</v>
      </c>
      <c r="G70" s="1" t="n">
        <v>55.6</v>
      </c>
      <c r="H70" s="1" t="n">
        <v>93.7</v>
      </c>
      <c r="J70" s="1" t="s">
        <v>51</v>
      </c>
      <c r="K70" s="1" t="n">
        <v>55.6</v>
      </c>
      <c r="L70" s="1" t="n">
        <v>98.4</v>
      </c>
    </row>
    <row r="71" customFormat="false" ht="15.75" hidden="false" customHeight="true" outlineLevel="0" collapsed="false">
      <c r="A71" s="1" t="s">
        <v>87</v>
      </c>
      <c r="B71" s="1" t="n">
        <v>13.51</v>
      </c>
      <c r="C71" s="1" t="n">
        <v>2023</v>
      </c>
      <c r="F71" s="1" t="s">
        <v>51</v>
      </c>
      <c r="G71" s="1" t="n">
        <v>54.8</v>
      </c>
      <c r="H71" s="1" t="n">
        <v>96.7</v>
      </c>
      <c r="J71" s="1" t="s">
        <v>45</v>
      </c>
      <c r="K71" s="1" t="n">
        <v>55.3</v>
      </c>
      <c r="L71" s="1" t="n">
        <v>93.2</v>
      </c>
    </row>
    <row r="72" customFormat="false" ht="15.75" hidden="false" customHeight="true" outlineLevel="0" collapsed="false">
      <c r="A72" s="1" t="s">
        <v>55</v>
      </c>
      <c r="B72" s="1" t="n">
        <v>13.72</v>
      </c>
      <c r="C72" s="1" t="n">
        <v>2023</v>
      </c>
      <c r="F72" s="1" t="s">
        <v>72</v>
      </c>
      <c r="G72" s="1" t="n">
        <v>54.6</v>
      </c>
      <c r="H72" s="1" t="n">
        <v>92.8</v>
      </c>
      <c r="J72" s="1" t="s">
        <v>72</v>
      </c>
      <c r="K72" s="1" t="n">
        <v>54.8</v>
      </c>
      <c r="L72" s="1" t="n">
        <v>93.1</v>
      </c>
    </row>
    <row r="73" customFormat="false" ht="15.75" hidden="false" customHeight="true" outlineLevel="0" collapsed="false">
      <c r="A73" s="1" t="s">
        <v>56</v>
      </c>
      <c r="B73" s="1" t="n">
        <v>13.72</v>
      </c>
      <c r="C73" s="1" t="n">
        <v>2023</v>
      </c>
      <c r="F73" s="1" t="s">
        <v>38</v>
      </c>
      <c r="G73" s="1" t="n">
        <v>54.1</v>
      </c>
      <c r="H73" s="1" t="n">
        <v>97.6</v>
      </c>
      <c r="J73" s="1" t="s">
        <v>89</v>
      </c>
      <c r="K73" s="1" t="n">
        <v>54.3</v>
      </c>
      <c r="L73" s="1" t="n">
        <v>92.1</v>
      </c>
    </row>
    <row r="74" customFormat="false" ht="15.75" hidden="false" customHeight="true" outlineLevel="0" collapsed="false">
      <c r="A74" s="1" t="s">
        <v>149</v>
      </c>
      <c r="B74" s="1" t="n">
        <v>13.72</v>
      </c>
      <c r="C74" s="1" t="n">
        <v>2023</v>
      </c>
      <c r="F74" s="1" t="s">
        <v>45</v>
      </c>
      <c r="G74" s="1" t="n">
        <v>53.9</v>
      </c>
      <c r="H74" s="1" t="n">
        <v>90.8</v>
      </c>
      <c r="J74" s="1" t="s">
        <v>43</v>
      </c>
      <c r="K74" s="1" t="n">
        <v>53.8</v>
      </c>
      <c r="L74" s="1" t="n">
        <v>91.2</v>
      </c>
    </row>
    <row r="75" customFormat="false" ht="15.75" hidden="false" customHeight="true" outlineLevel="0" collapsed="false">
      <c r="A75" s="1" t="s">
        <v>130</v>
      </c>
      <c r="B75" s="1" t="n">
        <v>13.78</v>
      </c>
      <c r="C75" s="1" t="n">
        <v>2023</v>
      </c>
      <c r="F75" s="1" t="s">
        <v>91</v>
      </c>
      <c r="G75" s="1" t="n">
        <v>52.7</v>
      </c>
      <c r="H75" s="1" t="n">
        <v>89.6</v>
      </c>
      <c r="J75" s="1" t="s">
        <v>91</v>
      </c>
      <c r="K75" s="1" t="n">
        <v>52.5</v>
      </c>
      <c r="L75" s="1" t="n">
        <v>89.3</v>
      </c>
    </row>
    <row r="76" customFormat="false" ht="15.75" hidden="false" customHeight="true" outlineLevel="0" collapsed="false">
      <c r="A76" s="1" t="s">
        <v>72</v>
      </c>
      <c r="B76" s="1" t="n">
        <v>14.06</v>
      </c>
      <c r="C76" s="1" t="n">
        <v>2023</v>
      </c>
      <c r="F76" s="1" t="s">
        <v>163</v>
      </c>
      <c r="G76" s="1" t="n">
        <v>52</v>
      </c>
      <c r="H76" s="1" t="n">
        <v>89.2</v>
      </c>
      <c r="J76" s="1" t="s">
        <v>59</v>
      </c>
      <c r="K76" s="1" t="n">
        <v>51.8</v>
      </c>
      <c r="L76" s="1" t="n">
        <v>90.5</v>
      </c>
    </row>
    <row r="77" customFormat="false" ht="15.75" hidden="false" customHeight="true" outlineLevel="0" collapsed="false">
      <c r="A77" s="1" t="s">
        <v>128</v>
      </c>
      <c r="B77" s="1" t="n">
        <v>14.11</v>
      </c>
      <c r="C77" s="1" t="n">
        <v>2023</v>
      </c>
      <c r="F77" s="1" t="s">
        <v>71</v>
      </c>
      <c r="G77" s="1" t="n">
        <v>50.5</v>
      </c>
      <c r="H77" s="1" t="n">
        <v>86</v>
      </c>
      <c r="J77" s="1" t="s">
        <v>71</v>
      </c>
      <c r="K77" s="1" t="n">
        <v>50.9</v>
      </c>
      <c r="L77" s="1" t="n">
        <v>86.8</v>
      </c>
    </row>
    <row r="78" customFormat="false" ht="15.75" hidden="false" customHeight="true" outlineLevel="0" collapsed="false">
      <c r="A78" s="1" t="s">
        <v>59</v>
      </c>
      <c r="B78" s="1" t="n">
        <v>14.12</v>
      </c>
      <c r="C78" s="1" t="n">
        <v>2023</v>
      </c>
      <c r="F78" s="1" t="s">
        <v>33</v>
      </c>
      <c r="G78" s="1" t="n">
        <v>49.7</v>
      </c>
      <c r="H78" s="1" t="n">
        <v>84.9</v>
      </c>
      <c r="J78" s="1" t="s">
        <v>30</v>
      </c>
      <c r="K78" s="1" t="n">
        <v>49.5</v>
      </c>
      <c r="L78" s="1" t="n">
        <v>83.3</v>
      </c>
    </row>
    <row r="79" customFormat="false" ht="15.75" hidden="false" customHeight="true" outlineLevel="0" collapsed="false">
      <c r="A79" s="1" t="s">
        <v>146</v>
      </c>
      <c r="B79" s="1" t="n">
        <v>14.23</v>
      </c>
      <c r="C79" s="1" t="n">
        <v>2023</v>
      </c>
      <c r="F79" s="1" t="s">
        <v>30</v>
      </c>
      <c r="G79" s="1" t="n">
        <v>49.1</v>
      </c>
      <c r="H79" s="1" t="n">
        <v>82.5</v>
      </c>
      <c r="J79" s="1" t="s">
        <v>33</v>
      </c>
      <c r="K79" s="1" t="n">
        <v>48.2</v>
      </c>
      <c r="L79" s="1" t="n">
        <v>81.5</v>
      </c>
    </row>
    <row r="80" customFormat="false" ht="15.75" hidden="false" customHeight="true" outlineLevel="0" collapsed="false">
      <c r="A80" s="1" t="s">
        <v>43</v>
      </c>
      <c r="B80" s="1" t="n">
        <v>14.29</v>
      </c>
      <c r="C80" s="1" t="n">
        <v>2023</v>
      </c>
      <c r="F80" s="1" t="s">
        <v>59</v>
      </c>
      <c r="G80" s="1" t="n">
        <v>48.8</v>
      </c>
      <c r="H80" s="1" t="n">
        <v>85.1</v>
      </c>
      <c r="J80" s="1" t="s">
        <v>36</v>
      </c>
      <c r="K80" s="1" t="n">
        <v>47.9</v>
      </c>
      <c r="L80" s="1" t="n">
        <v>82</v>
      </c>
    </row>
    <row r="81" customFormat="false" ht="15.75" hidden="false" customHeight="true" outlineLevel="0" collapsed="false">
      <c r="A81" s="1" t="s">
        <v>71</v>
      </c>
      <c r="B81" s="1" t="n">
        <v>14.35</v>
      </c>
      <c r="C81" s="1" t="n">
        <v>2023</v>
      </c>
      <c r="F81" s="1" t="s">
        <v>36</v>
      </c>
      <c r="G81" s="1" t="n">
        <v>48.3</v>
      </c>
      <c r="H81" s="1" t="n">
        <v>82.6</v>
      </c>
      <c r="J81" s="1" t="s">
        <v>55</v>
      </c>
      <c r="K81" s="1" t="n">
        <v>46.7</v>
      </c>
      <c r="L81" s="1" t="n">
        <v>80.8</v>
      </c>
    </row>
    <row r="82" customFormat="false" ht="15.75" hidden="false" customHeight="true" outlineLevel="0" collapsed="false">
      <c r="A82" s="1" t="s">
        <v>298</v>
      </c>
      <c r="B82" s="1" t="n">
        <v>14.41</v>
      </c>
      <c r="C82" s="1" t="n">
        <v>2023</v>
      </c>
      <c r="F82" s="1" t="s">
        <v>43</v>
      </c>
      <c r="G82" s="1" t="n">
        <v>46.2</v>
      </c>
      <c r="H82" s="1" t="n">
        <v>77.1</v>
      </c>
      <c r="J82" s="1" t="s">
        <v>64</v>
      </c>
      <c r="K82" s="1" t="n">
        <v>45.2</v>
      </c>
      <c r="L82" s="1" t="n">
        <v>76</v>
      </c>
    </row>
    <row r="83" customFormat="false" ht="15.75" hidden="false" customHeight="true" outlineLevel="0" collapsed="false">
      <c r="A83" s="1" t="s">
        <v>90</v>
      </c>
      <c r="B83" s="1" t="n">
        <v>14.85</v>
      </c>
      <c r="C83" s="1" t="n">
        <v>2023</v>
      </c>
      <c r="F83" s="1" t="s">
        <v>55</v>
      </c>
      <c r="G83" s="1" t="n">
        <v>45.8</v>
      </c>
      <c r="H83" s="1" t="n">
        <v>79.1</v>
      </c>
      <c r="J83" s="1" t="s">
        <v>78</v>
      </c>
      <c r="K83" s="1" t="n">
        <v>45.2</v>
      </c>
      <c r="L83" s="1" t="n">
        <v>75.2</v>
      </c>
    </row>
    <row r="84" customFormat="false" ht="15.75" hidden="false" customHeight="true" outlineLevel="0" collapsed="false">
      <c r="A84" s="1" t="s">
        <v>74</v>
      </c>
      <c r="B84" s="1" t="n">
        <v>14.95</v>
      </c>
      <c r="C84" s="1" t="n">
        <v>2023</v>
      </c>
      <c r="F84" s="1" t="s">
        <v>78</v>
      </c>
      <c r="G84" s="1" t="n">
        <v>45.1</v>
      </c>
      <c r="H84" s="1" t="n">
        <v>75.2</v>
      </c>
      <c r="J84" s="1" t="s">
        <v>34</v>
      </c>
      <c r="K84" s="1" t="n">
        <v>43.7</v>
      </c>
      <c r="L84" s="1" t="n">
        <v>73</v>
      </c>
    </row>
    <row r="85" customFormat="false" ht="15.75" hidden="false" customHeight="true" outlineLevel="0" collapsed="false">
      <c r="A85" s="1" t="s">
        <v>99</v>
      </c>
      <c r="B85" s="1" t="n">
        <v>15.03</v>
      </c>
      <c r="C85" s="1" t="n">
        <v>2023</v>
      </c>
      <c r="F85" s="1" t="s">
        <v>64</v>
      </c>
      <c r="G85" s="1" t="n">
        <v>43.6</v>
      </c>
      <c r="H85" s="1" t="n">
        <v>73</v>
      </c>
      <c r="J85" s="1" t="s">
        <v>60</v>
      </c>
      <c r="K85" s="1" t="n">
        <v>43.6</v>
      </c>
      <c r="L85" s="1" t="n">
        <v>77.5</v>
      </c>
    </row>
    <row r="86" customFormat="false" ht="15.75" hidden="false" customHeight="true" outlineLevel="0" collapsed="false">
      <c r="A86" s="1" t="s">
        <v>203</v>
      </c>
      <c r="B86" s="1" t="n">
        <v>15.12</v>
      </c>
      <c r="C86" s="1" t="n">
        <v>2023</v>
      </c>
      <c r="F86" s="1" t="s">
        <v>60</v>
      </c>
      <c r="G86" s="1" t="n">
        <v>42.4</v>
      </c>
      <c r="H86" s="1" t="n">
        <v>75.6</v>
      </c>
      <c r="J86" s="1" t="s">
        <v>63</v>
      </c>
      <c r="K86" s="1" t="n">
        <v>42.9</v>
      </c>
      <c r="L86" s="1" t="n">
        <v>73</v>
      </c>
    </row>
    <row r="87" customFormat="false" ht="15.75" hidden="false" customHeight="true" outlineLevel="0" collapsed="false">
      <c r="A87" s="1" t="s">
        <v>70</v>
      </c>
      <c r="B87" s="1" t="n">
        <v>15.12</v>
      </c>
      <c r="C87" s="1" t="n">
        <v>2023</v>
      </c>
      <c r="F87" s="1" t="s">
        <v>63</v>
      </c>
      <c r="G87" s="1" t="n">
        <v>41.6</v>
      </c>
      <c r="H87" s="1" t="n">
        <v>70.7</v>
      </c>
      <c r="J87" s="1" t="s">
        <v>23</v>
      </c>
      <c r="K87" s="1" t="n">
        <v>40.4</v>
      </c>
      <c r="L87" s="1" t="n">
        <v>66.9</v>
      </c>
    </row>
    <row r="88" customFormat="false" ht="15.75" hidden="false" customHeight="true" outlineLevel="0" collapsed="false">
      <c r="A88" s="1" t="s">
        <v>15</v>
      </c>
      <c r="B88" s="1" t="n">
        <v>15.14</v>
      </c>
      <c r="C88" s="1" t="n">
        <v>2023</v>
      </c>
      <c r="F88" s="1" t="s">
        <v>23</v>
      </c>
      <c r="G88" s="1" t="n">
        <v>40.6</v>
      </c>
      <c r="H88" s="1" t="n">
        <v>67.1</v>
      </c>
      <c r="J88" s="1" t="s">
        <v>40</v>
      </c>
      <c r="K88" s="1" t="n">
        <v>38.5</v>
      </c>
      <c r="L88" s="1" t="n">
        <v>62.2</v>
      </c>
    </row>
    <row r="89" customFormat="false" ht="15.75" hidden="false" customHeight="true" outlineLevel="0" collapsed="false">
      <c r="A89" s="1" t="s">
        <v>154</v>
      </c>
      <c r="B89" s="1" t="n">
        <v>15.33</v>
      </c>
      <c r="C89" s="1" t="n">
        <v>2023</v>
      </c>
      <c r="F89" s="1" t="s">
        <v>225</v>
      </c>
      <c r="G89" s="1" t="n">
        <v>40.3</v>
      </c>
      <c r="H89" s="1" t="n">
        <v>92.7</v>
      </c>
      <c r="J89" s="1" t="s">
        <v>56</v>
      </c>
      <c r="K89" s="1" t="n">
        <v>37.4</v>
      </c>
      <c r="L89" s="1" t="n">
        <v>62.6</v>
      </c>
    </row>
    <row r="90" customFormat="false" ht="15.75" hidden="false" customHeight="true" outlineLevel="0" collapsed="false">
      <c r="A90" s="1" t="s">
        <v>76</v>
      </c>
      <c r="B90" s="1" t="n">
        <v>15.51</v>
      </c>
      <c r="C90" s="1" t="n">
        <v>2023</v>
      </c>
      <c r="F90" s="1" t="s">
        <v>40</v>
      </c>
      <c r="G90" s="1" t="n">
        <v>37.4</v>
      </c>
      <c r="H90" s="1" t="n">
        <v>60.1</v>
      </c>
      <c r="J90" s="1" t="s">
        <v>17</v>
      </c>
      <c r="K90" s="1" t="n">
        <v>36.5</v>
      </c>
      <c r="L90" s="1" t="n">
        <v>60.3</v>
      </c>
    </row>
    <row r="91" customFormat="false" ht="15.75" hidden="false" customHeight="true" outlineLevel="0" collapsed="false">
      <c r="A91" s="1" t="s">
        <v>140</v>
      </c>
      <c r="B91" s="1" t="n">
        <v>15.67</v>
      </c>
      <c r="C91" s="1" t="n">
        <v>2023</v>
      </c>
      <c r="F91" s="1" t="s">
        <v>17</v>
      </c>
      <c r="G91" s="1" t="n">
        <v>37</v>
      </c>
      <c r="H91" s="1" t="n">
        <v>61.2</v>
      </c>
      <c r="J91" s="1" t="s">
        <v>41</v>
      </c>
      <c r="K91" s="1" t="n">
        <v>35.4</v>
      </c>
      <c r="L91" s="1" t="n">
        <v>57</v>
      </c>
    </row>
    <row r="92" customFormat="false" ht="15.75" hidden="false" customHeight="true" outlineLevel="0" collapsed="false">
      <c r="A92" s="1" t="s">
        <v>52</v>
      </c>
      <c r="B92" s="1" t="n">
        <v>15.78</v>
      </c>
      <c r="C92" s="1" t="n">
        <v>2023</v>
      </c>
      <c r="F92" s="1" t="s">
        <v>37</v>
      </c>
      <c r="G92" s="1" t="n">
        <v>36.5</v>
      </c>
      <c r="H92" s="1" t="n">
        <v>58.2</v>
      </c>
      <c r="J92" s="1" t="s">
        <v>37</v>
      </c>
      <c r="K92" s="1" t="n">
        <v>35</v>
      </c>
      <c r="L92" s="1" t="n">
        <v>55.6</v>
      </c>
    </row>
    <row r="93" customFormat="false" ht="15.75" hidden="false" customHeight="true" outlineLevel="0" collapsed="false">
      <c r="A93" s="1" t="s">
        <v>216</v>
      </c>
      <c r="B93" s="1" t="n">
        <v>15.81</v>
      </c>
      <c r="C93" s="1" t="n">
        <v>2023</v>
      </c>
      <c r="F93" s="1" t="s">
        <v>34</v>
      </c>
      <c r="G93" s="1" t="n">
        <v>35.5</v>
      </c>
      <c r="H93" s="1" t="n">
        <v>62.3</v>
      </c>
      <c r="J93" s="1" t="s">
        <v>47</v>
      </c>
      <c r="K93" s="1" t="n">
        <v>34.9</v>
      </c>
      <c r="L93" s="1" t="n">
        <v>57.8</v>
      </c>
    </row>
    <row r="94" customFormat="false" ht="15.75" hidden="false" customHeight="true" outlineLevel="0" collapsed="false">
      <c r="A94" s="1" t="s">
        <v>68</v>
      </c>
      <c r="B94" s="1" t="n">
        <v>15.87</v>
      </c>
      <c r="C94" s="1" t="n">
        <v>2023</v>
      </c>
      <c r="F94" s="1" t="s">
        <v>56</v>
      </c>
      <c r="G94" s="1" t="n">
        <v>33.3</v>
      </c>
      <c r="H94" s="1" t="n">
        <v>55.5</v>
      </c>
      <c r="J94" s="1" t="s">
        <v>24</v>
      </c>
      <c r="K94" s="1" t="n">
        <v>34.4</v>
      </c>
      <c r="L94" s="1" t="n">
        <v>57.1</v>
      </c>
    </row>
    <row r="95" customFormat="false" ht="15.75" hidden="false" customHeight="true" outlineLevel="0" collapsed="false">
      <c r="A95" s="1" t="s">
        <v>65</v>
      </c>
      <c r="B95" s="1" t="n">
        <v>16.01</v>
      </c>
      <c r="C95" s="1" t="n">
        <v>2023</v>
      </c>
      <c r="F95" s="1" t="s">
        <v>15</v>
      </c>
      <c r="G95" s="1" t="n">
        <v>32.5</v>
      </c>
      <c r="H95" s="1" t="n">
        <v>55.4</v>
      </c>
      <c r="J95" s="1" t="s">
        <v>15</v>
      </c>
      <c r="K95" s="1" t="n">
        <v>32.5</v>
      </c>
      <c r="L95" s="1" t="n">
        <v>55.3</v>
      </c>
    </row>
    <row r="96" customFormat="false" ht="15.75" hidden="false" customHeight="true" outlineLevel="0" collapsed="false">
      <c r="A96" s="1" t="s">
        <v>45</v>
      </c>
      <c r="B96" s="1" t="n">
        <v>16.07</v>
      </c>
      <c r="C96" s="1" t="n">
        <v>2023</v>
      </c>
      <c r="F96" s="1" t="s">
        <v>41</v>
      </c>
      <c r="G96" s="1" t="n">
        <v>32.4</v>
      </c>
      <c r="H96" s="1" t="n">
        <v>53</v>
      </c>
      <c r="J96" s="1" t="s">
        <v>52</v>
      </c>
      <c r="K96" s="1" t="n">
        <v>30.8</v>
      </c>
      <c r="L96" s="1" t="n">
        <v>50.6</v>
      </c>
    </row>
    <row r="97" customFormat="false" ht="15.75" hidden="false" customHeight="true" outlineLevel="0" collapsed="false">
      <c r="A97" s="1" t="s">
        <v>51</v>
      </c>
      <c r="B97" s="1" t="n">
        <v>16.52</v>
      </c>
      <c r="C97" s="1" t="n">
        <v>2023</v>
      </c>
      <c r="F97" s="1" t="s">
        <v>52</v>
      </c>
      <c r="G97" s="1" t="n">
        <v>32.1</v>
      </c>
      <c r="H97" s="1" t="n">
        <v>52.8</v>
      </c>
      <c r="J97" s="1" t="s">
        <v>57</v>
      </c>
      <c r="K97" s="1" t="n">
        <v>30.4</v>
      </c>
      <c r="L97" s="1" t="n">
        <v>49</v>
      </c>
    </row>
    <row r="98" customFormat="false" ht="15.75" hidden="false" customHeight="true" outlineLevel="0" collapsed="false">
      <c r="A98" s="1" t="s">
        <v>103</v>
      </c>
      <c r="B98" s="1" t="n">
        <v>16.54</v>
      </c>
      <c r="C98" s="1" t="n">
        <v>2023</v>
      </c>
      <c r="F98" s="1" t="s">
        <v>24</v>
      </c>
      <c r="G98" s="1" t="n">
        <v>30.7</v>
      </c>
      <c r="H98" s="1" t="n">
        <v>53.8</v>
      </c>
      <c r="J98" s="1" t="s">
        <v>31</v>
      </c>
      <c r="K98" s="1" t="n">
        <v>29.7</v>
      </c>
      <c r="L98" s="1" t="n">
        <v>48.4</v>
      </c>
    </row>
    <row r="99" customFormat="false" ht="15.75" hidden="false" customHeight="true" outlineLevel="0" collapsed="false">
      <c r="A99" s="1" t="s">
        <v>73</v>
      </c>
      <c r="B99" s="1" t="n">
        <v>16.61</v>
      </c>
      <c r="C99" s="1" t="n">
        <v>2023</v>
      </c>
      <c r="F99" s="1" t="s">
        <v>54</v>
      </c>
      <c r="G99" s="1" t="n">
        <v>29.8</v>
      </c>
      <c r="H99" s="1" t="n">
        <v>47.9</v>
      </c>
      <c r="J99" s="1" t="s">
        <v>54</v>
      </c>
      <c r="K99" s="1" t="n">
        <v>28.7</v>
      </c>
      <c r="L99" s="1" t="n">
        <v>45.9</v>
      </c>
    </row>
    <row r="100" customFormat="false" ht="15.75" hidden="false" customHeight="true" outlineLevel="0" collapsed="false">
      <c r="A100" s="1" t="s">
        <v>192</v>
      </c>
      <c r="B100" s="1" t="n">
        <v>16.72</v>
      </c>
      <c r="C100" s="1" t="n">
        <v>2023</v>
      </c>
      <c r="F100" s="1" t="s">
        <v>31</v>
      </c>
      <c r="G100" s="1" t="n">
        <v>29.8</v>
      </c>
      <c r="H100" s="1" t="n">
        <v>48.6</v>
      </c>
      <c r="J100" s="1" t="s">
        <v>25</v>
      </c>
      <c r="K100" s="1" t="n">
        <v>28.7</v>
      </c>
      <c r="L100" s="1" t="n">
        <v>46.3</v>
      </c>
    </row>
    <row r="101" customFormat="false" ht="15.75" hidden="false" customHeight="true" outlineLevel="0" collapsed="false">
      <c r="A101" s="1" t="s">
        <v>224</v>
      </c>
      <c r="B101" s="1" t="n">
        <v>16.75</v>
      </c>
      <c r="C101" s="1" t="n">
        <v>2023</v>
      </c>
      <c r="F101" s="1" t="s">
        <v>20</v>
      </c>
      <c r="G101" s="1" t="n">
        <v>28.3</v>
      </c>
      <c r="H101" s="1" t="n">
        <v>45.4</v>
      </c>
      <c r="J101" s="1" t="s">
        <v>20</v>
      </c>
      <c r="K101" s="1" t="n">
        <v>27</v>
      </c>
      <c r="L101" s="1" t="n">
        <v>43.2</v>
      </c>
    </row>
    <row r="102" customFormat="false" ht="15.75" hidden="false" customHeight="true" outlineLevel="0" collapsed="false">
      <c r="A102" s="1" t="s">
        <v>137</v>
      </c>
      <c r="B102" s="1" t="n">
        <v>16.76</v>
      </c>
      <c r="C102" s="1" t="n">
        <v>2023</v>
      </c>
      <c r="F102" s="1" t="s">
        <v>47</v>
      </c>
      <c r="G102" s="1" t="n">
        <v>28</v>
      </c>
      <c r="H102" s="1" t="n">
        <v>45.9</v>
      </c>
      <c r="J102" s="1" t="s">
        <v>50</v>
      </c>
      <c r="K102" s="1" t="n">
        <v>26.3</v>
      </c>
      <c r="L102" s="1" t="n">
        <v>42.6</v>
      </c>
    </row>
    <row r="103" customFormat="false" ht="15.75" hidden="false" customHeight="true" outlineLevel="0" collapsed="false">
      <c r="A103" s="1" t="s">
        <v>127</v>
      </c>
      <c r="B103" s="1" t="n">
        <v>16.95</v>
      </c>
      <c r="C103" s="1" t="n">
        <v>2023</v>
      </c>
      <c r="F103" s="1" t="s">
        <v>57</v>
      </c>
      <c r="G103" s="1" t="n">
        <v>27.8</v>
      </c>
      <c r="H103" s="1" t="n">
        <v>44.5</v>
      </c>
      <c r="J103" s="1" t="s">
        <v>35</v>
      </c>
      <c r="K103" s="1" t="n">
        <v>26.3</v>
      </c>
      <c r="L103" s="1" t="n">
        <v>44.6</v>
      </c>
    </row>
    <row r="104" customFormat="false" ht="15.75" hidden="false" customHeight="true" outlineLevel="0" collapsed="false">
      <c r="A104" s="1" t="s">
        <v>299</v>
      </c>
      <c r="B104" s="1" t="n">
        <v>17.35</v>
      </c>
      <c r="C104" s="1" t="n">
        <v>2023</v>
      </c>
      <c r="F104" s="1" t="s">
        <v>35</v>
      </c>
      <c r="G104" s="1" t="n">
        <v>26.2</v>
      </c>
      <c r="H104" s="1" t="n">
        <v>44.4</v>
      </c>
      <c r="J104" s="1" t="s">
        <v>12</v>
      </c>
      <c r="K104" s="1" t="n">
        <v>23.3</v>
      </c>
      <c r="L104" s="1" t="n">
        <v>37.4</v>
      </c>
    </row>
    <row r="105" customFormat="false" ht="15.75" hidden="false" customHeight="true" outlineLevel="0" collapsed="false">
      <c r="A105" s="1" t="s">
        <v>63</v>
      </c>
      <c r="B105" s="1" t="n">
        <v>17.7</v>
      </c>
      <c r="C105" s="1" t="n">
        <v>2023</v>
      </c>
      <c r="F105" s="1" t="s">
        <v>18</v>
      </c>
      <c r="G105" s="1" t="n">
        <v>26.2</v>
      </c>
      <c r="H105" s="1" t="n">
        <v>41.2</v>
      </c>
      <c r="J105" s="1" t="s">
        <v>13</v>
      </c>
      <c r="K105" s="1" t="n">
        <v>23.3</v>
      </c>
      <c r="L105" s="1" t="n">
        <v>35.3</v>
      </c>
    </row>
    <row r="106" customFormat="false" ht="15.75" hidden="false" customHeight="true" outlineLevel="0" collapsed="false">
      <c r="A106" s="1" t="s">
        <v>201</v>
      </c>
      <c r="B106" s="1" t="n">
        <v>17.92</v>
      </c>
      <c r="C106" s="1" t="n">
        <v>2023</v>
      </c>
      <c r="F106" s="1" t="s">
        <v>13</v>
      </c>
      <c r="G106" s="1" t="n">
        <v>24.4</v>
      </c>
      <c r="H106" s="1" t="n">
        <v>37</v>
      </c>
      <c r="J106" s="1" t="s">
        <v>49</v>
      </c>
      <c r="K106" s="1" t="n">
        <v>22</v>
      </c>
      <c r="L106" s="1" t="n">
        <v>38.3</v>
      </c>
    </row>
    <row r="107" customFormat="false" ht="15.75" hidden="false" customHeight="true" outlineLevel="0" collapsed="false">
      <c r="A107" s="1" t="s">
        <v>82</v>
      </c>
      <c r="B107" s="1" t="n">
        <v>18.36</v>
      </c>
      <c r="C107" s="1" t="n">
        <v>2023</v>
      </c>
      <c r="F107" s="1" t="s">
        <v>193</v>
      </c>
      <c r="G107" s="1" t="n">
        <v>23.5</v>
      </c>
      <c r="H107" s="1" t="n">
        <v>58.6</v>
      </c>
      <c r="J107" s="1" t="s">
        <v>21</v>
      </c>
      <c r="K107" s="1" t="n">
        <v>21.4</v>
      </c>
      <c r="L107" s="1" t="n">
        <v>34</v>
      </c>
    </row>
    <row r="108" customFormat="false" ht="15.75" hidden="false" customHeight="true" outlineLevel="0" collapsed="false">
      <c r="A108" s="1" t="s">
        <v>64</v>
      </c>
      <c r="B108" s="1" t="n">
        <v>18.45</v>
      </c>
      <c r="C108" s="1" t="n">
        <v>2023</v>
      </c>
      <c r="F108" s="1" t="s">
        <v>25</v>
      </c>
      <c r="G108" s="1" t="n">
        <v>23.2</v>
      </c>
      <c r="H108" s="1" t="n">
        <v>39.6</v>
      </c>
      <c r="J108" s="1" t="s">
        <v>28</v>
      </c>
      <c r="K108" s="1" t="n">
        <v>21.2</v>
      </c>
      <c r="L108" s="1" t="n">
        <v>34</v>
      </c>
    </row>
    <row r="109" customFormat="false" ht="15.75" hidden="false" customHeight="true" outlineLevel="0" collapsed="false">
      <c r="A109" s="1" t="s">
        <v>210</v>
      </c>
      <c r="B109" s="1" t="n">
        <v>18.54</v>
      </c>
      <c r="C109" s="1" t="n">
        <v>2023</v>
      </c>
      <c r="F109" s="1" t="s">
        <v>50</v>
      </c>
      <c r="G109" s="1" t="n">
        <v>22.9</v>
      </c>
      <c r="H109" s="1" t="n">
        <v>36.8</v>
      </c>
      <c r="J109" s="1" t="s">
        <v>18</v>
      </c>
      <c r="K109" s="1" t="n">
        <v>20.8</v>
      </c>
      <c r="L109" s="1" t="n">
        <v>32.2</v>
      </c>
    </row>
    <row r="110" customFormat="false" ht="15.75" hidden="false" customHeight="true" outlineLevel="0" collapsed="false">
      <c r="A110" s="1" t="s">
        <v>84</v>
      </c>
      <c r="B110" s="1" t="n">
        <v>18.57</v>
      </c>
      <c r="C110" s="1" t="n">
        <v>2023</v>
      </c>
      <c r="F110" s="1" t="s">
        <v>21</v>
      </c>
      <c r="G110" s="1" t="n">
        <v>22.6</v>
      </c>
      <c r="H110" s="1" t="n">
        <v>36.3</v>
      </c>
      <c r="J110" s="1" t="s">
        <v>16</v>
      </c>
      <c r="K110" s="1" t="n">
        <v>18.2</v>
      </c>
      <c r="L110" s="1" t="n">
        <v>29.3</v>
      </c>
    </row>
    <row r="111" customFormat="false" ht="15.75" hidden="false" customHeight="true" outlineLevel="0" collapsed="false">
      <c r="A111" s="1" t="s">
        <v>88</v>
      </c>
      <c r="B111" s="1" t="n">
        <v>18.61</v>
      </c>
      <c r="C111" s="1" t="n">
        <v>2023</v>
      </c>
      <c r="F111" s="1" t="s">
        <v>12</v>
      </c>
      <c r="G111" s="1" t="n">
        <v>22</v>
      </c>
      <c r="H111" s="1" t="n">
        <v>38</v>
      </c>
      <c r="J111" s="1" t="s">
        <v>29</v>
      </c>
      <c r="K111" s="1" t="n">
        <v>17.7</v>
      </c>
      <c r="L111" s="1" t="n">
        <v>27.4</v>
      </c>
    </row>
    <row r="112" customFormat="false" ht="15.75" hidden="false" customHeight="true" outlineLevel="0" collapsed="false">
      <c r="A112" s="1" t="s">
        <v>94</v>
      </c>
      <c r="B112" s="1" t="n">
        <v>18.72</v>
      </c>
      <c r="C112" s="1" t="n">
        <v>2023</v>
      </c>
      <c r="F112" s="1" t="s">
        <v>49</v>
      </c>
      <c r="G112" s="1" t="n">
        <v>22</v>
      </c>
      <c r="H112" s="1" t="n">
        <v>37.8</v>
      </c>
      <c r="J112" s="1" t="s">
        <v>42</v>
      </c>
      <c r="K112" s="1" t="n">
        <v>17</v>
      </c>
      <c r="L112" s="1" t="n">
        <v>27.3</v>
      </c>
    </row>
    <row r="113" customFormat="false" ht="15.75" hidden="false" customHeight="true" outlineLevel="0" collapsed="false">
      <c r="A113" s="1" t="s">
        <v>101</v>
      </c>
      <c r="B113" s="1" t="n">
        <v>18.87</v>
      </c>
      <c r="C113" s="1" t="n">
        <v>2023</v>
      </c>
      <c r="F113" s="1" t="s">
        <v>16</v>
      </c>
      <c r="G113" s="1" t="n">
        <v>18.7</v>
      </c>
      <c r="H113" s="1" t="n">
        <v>30.7</v>
      </c>
      <c r="J113" s="1" t="s">
        <v>14</v>
      </c>
      <c r="K113" s="1" t="n">
        <v>16</v>
      </c>
      <c r="L113" s="1" t="n">
        <v>27.2</v>
      </c>
    </row>
    <row r="114" customFormat="false" ht="15.75" hidden="false" customHeight="true" outlineLevel="0" collapsed="false">
      <c r="A114" s="1" t="s">
        <v>108</v>
      </c>
      <c r="B114" s="1" t="n">
        <v>19.2</v>
      </c>
      <c r="C114" s="1" t="n">
        <v>2023</v>
      </c>
      <c r="F114" s="1" t="s">
        <v>29</v>
      </c>
      <c r="G114" s="1" t="n">
        <v>17.1</v>
      </c>
      <c r="H114" s="1" t="n">
        <v>27.1</v>
      </c>
      <c r="J114" s="1" t="s">
        <v>32</v>
      </c>
      <c r="K114" s="1" t="n">
        <v>11.9</v>
      </c>
      <c r="L114" s="1" t="n">
        <v>19.9</v>
      </c>
    </row>
    <row r="115" customFormat="false" ht="15.75" hidden="false" customHeight="true" outlineLevel="0" collapsed="false">
      <c r="A115" s="1" t="s">
        <v>67</v>
      </c>
      <c r="B115" s="1" t="n">
        <v>19.34</v>
      </c>
      <c r="C115" s="1" t="n">
        <v>2023</v>
      </c>
      <c r="F115" s="1" t="s">
        <v>14</v>
      </c>
      <c r="G115" s="1" t="n">
        <v>17.1</v>
      </c>
      <c r="H115" s="1" t="n">
        <v>28.7</v>
      </c>
    </row>
    <row r="116" customFormat="false" ht="15.75" hidden="false" customHeight="true" outlineLevel="0" collapsed="false">
      <c r="A116" s="1" t="s">
        <v>152</v>
      </c>
      <c r="B116" s="1" t="n">
        <v>19.43</v>
      </c>
      <c r="C116" s="1" t="n">
        <v>2023</v>
      </c>
      <c r="F116" s="1" t="s">
        <v>28</v>
      </c>
      <c r="G116" s="1" t="n">
        <v>16.3</v>
      </c>
      <c r="H116" s="1" t="n">
        <v>27.1</v>
      </c>
    </row>
    <row r="117" customFormat="false" ht="15.75" hidden="false" customHeight="true" outlineLevel="0" collapsed="false">
      <c r="A117" s="1" t="s">
        <v>80</v>
      </c>
      <c r="B117" s="1" t="n">
        <v>19.6</v>
      </c>
      <c r="C117" s="1" t="n">
        <v>2023</v>
      </c>
      <c r="F117" s="1" t="s">
        <v>42</v>
      </c>
      <c r="G117" s="1" t="n">
        <v>15.7</v>
      </c>
      <c r="H117" s="1" t="n">
        <v>25.4</v>
      </c>
    </row>
    <row r="118" customFormat="false" ht="15.75" hidden="false" customHeight="true" outlineLevel="0" collapsed="false">
      <c r="A118" s="1" t="s">
        <v>58</v>
      </c>
      <c r="B118" s="1" t="n">
        <v>19.68</v>
      </c>
      <c r="C118" s="1" t="n">
        <v>2023</v>
      </c>
      <c r="F118" s="1" t="s">
        <v>32</v>
      </c>
      <c r="G118" s="1" t="n">
        <v>10.9</v>
      </c>
      <c r="H118" s="1" t="n">
        <v>19.1</v>
      </c>
    </row>
    <row r="119" customFormat="false" ht="15.75" hidden="false" customHeight="true" outlineLevel="0" collapsed="false">
      <c r="A119" s="1" t="s">
        <v>145</v>
      </c>
      <c r="B119" s="1" t="n">
        <v>19.91</v>
      </c>
      <c r="C119" s="1" t="n">
        <v>2023</v>
      </c>
    </row>
    <row r="120" customFormat="false" ht="15.75" hidden="false" customHeight="true" outlineLevel="0" collapsed="false">
      <c r="A120" s="1" t="s">
        <v>163</v>
      </c>
      <c r="B120" s="1" t="n">
        <v>20.01</v>
      </c>
      <c r="C120" s="1" t="n">
        <v>2023</v>
      </c>
    </row>
    <row r="121" customFormat="false" ht="15.75" hidden="false" customHeight="true" outlineLevel="0" collapsed="false">
      <c r="A121" s="1" t="s">
        <v>93</v>
      </c>
      <c r="B121" s="1" t="n">
        <v>20.12</v>
      </c>
      <c r="C121" s="1" t="n">
        <v>2023</v>
      </c>
    </row>
    <row r="122" customFormat="false" ht="15.75" hidden="false" customHeight="true" outlineLevel="0" collapsed="false">
      <c r="A122" s="1" t="s">
        <v>158</v>
      </c>
      <c r="B122" s="1" t="n">
        <v>20.17</v>
      </c>
      <c r="C122" s="1" t="n">
        <v>2023</v>
      </c>
    </row>
    <row r="123" customFormat="false" ht="15.75" hidden="false" customHeight="true" outlineLevel="0" collapsed="false">
      <c r="A123" s="1" t="s">
        <v>142</v>
      </c>
      <c r="B123" s="1" t="n">
        <v>20.19</v>
      </c>
      <c r="C123" s="1" t="n">
        <v>2023</v>
      </c>
    </row>
    <row r="124" customFormat="false" ht="15.75" hidden="false" customHeight="true" outlineLevel="0" collapsed="false">
      <c r="A124" s="1" t="s">
        <v>144</v>
      </c>
      <c r="B124" s="1" t="n">
        <v>20.24</v>
      </c>
      <c r="C124" s="1" t="n">
        <v>2023</v>
      </c>
    </row>
    <row r="125" customFormat="false" ht="15.75" hidden="false" customHeight="true" outlineLevel="0" collapsed="false">
      <c r="A125" s="1" t="s">
        <v>100</v>
      </c>
      <c r="B125" s="1" t="n">
        <v>20.25</v>
      </c>
      <c r="C125" s="1" t="n">
        <v>2023</v>
      </c>
    </row>
    <row r="126" customFormat="false" ht="15.75" hidden="false" customHeight="true" outlineLevel="0" collapsed="false">
      <c r="A126" s="1" t="s">
        <v>133</v>
      </c>
      <c r="B126" s="1" t="n">
        <v>20.39</v>
      </c>
      <c r="C126" s="1" t="n">
        <v>2023</v>
      </c>
    </row>
    <row r="127" customFormat="false" ht="15.75" hidden="false" customHeight="true" outlineLevel="0" collapsed="false">
      <c r="A127" s="1" t="s">
        <v>153</v>
      </c>
      <c r="B127" s="1" t="n">
        <v>20.42</v>
      </c>
      <c r="C127" s="1" t="n">
        <v>2023</v>
      </c>
    </row>
    <row r="128" customFormat="false" ht="15.75" hidden="false" customHeight="true" outlineLevel="0" collapsed="false">
      <c r="A128" s="1" t="s">
        <v>105</v>
      </c>
      <c r="B128" s="1" t="n">
        <v>20.84</v>
      </c>
      <c r="C128" s="1" t="n">
        <v>2023</v>
      </c>
    </row>
    <row r="129" customFormat="false" ht="15.75" hidden="false" customHeight="true" outlineLevel="0" collapsed="false">
      <c r="A129" s="1" t="s">
        <v>126</v>
      </c>
      <c r="B129" s="1" t="n">
        <v>21.65</v>
      </c>
      <c r="C129" s="1" t="n">
        <v>2023</v>
      </c>
    </row>
    <row r="130" customFormat="false" ht="15.75" hidden="false" customHeight="true" outlineLevel="0" collapsed="false">
      <c r="A130" s="1" t="s">
        <v>187</v>
      </c>
      <c r="B130" s="1" t="n">
        <v>21.78</v>
      </c>
      <c r="C130" s="1" t="n">
        <v>2023</v>
      </c>
    </row>
    <row r="131" customFormat="false" ht="15.75" hidden="false" customHeight="true" outlineLevel="0" collapsed="false">
      <c r="A131" s="1" t="s">
        <v>79</v>
      </c>
      <c r="B131" s="1" t="n">
        <v>21.81</v>
      </c>
      <c r="C131" s="1" t="n">
        <v>2023</v>
      </c>
    </row>
    <row r="132" customFormat="false" ht="15.75" hidden="false" customHeight="true" outlineLevel="0" collapsed="false">
      <c r="A132" s="1" t="s">
        <v>38</v>
      </c>
      <c r="B132" s="1" t="n">
        <v>21.89</v>
      </c>
      <c r="C132" s="1" t="n">
        <v>2023</v>
      </c>
    </row>
    <row r="133" customFormat="false" ht="15.75" hidden="false" customHeight="true" outlineLevel="0" collapsed="false">
      <c r="A133" s="1" t="s">
        <v>22</v>
      </c>
      <c r="B133" s="1" t="n">
        <v>21.9</v>
      </c>
      <c r="C133" s="1" t="n">
        <v>2023</v>
      </c>
    </row>
    <row r="134" customFormat="false" ht="15.75" hidden="false" customHeight="true" outlineLevel="0" collapsed="false">
      <c r="A134" s="1" t="s">
        <v>102</v>
      </c>
      <c r="B134" s="1" t="n">
        <v>22.21</v>
      </c>
      <c r="C134" s="1" t="n">
        <v>2023</v>
      </c>
    </row>
    <row r="135" customFormat="false" ht="15.75" hidden="false" customHeight="true" outlineLevel="0" collapsed="false">
      <c r="A135" s="1" t="s">
        <v>184</v>
      </c>
      <c r="B135" s="1" t="n">
        <v>22.39</v>
      </c>
      <c r="C135" s="1" t="n">
        <v>2023</v>
      </c>
    </row>
    <row r="136" customFormat="false" ht="15.75" hidden="false" customHeight="true" outlineLevel="0" collapsed="false">
      <c r="A136" s="1" t="s">
        <v>196</v>
      </c>
      <c r="B136" s="1" t="n">
        <v>22.46</v>
      </c>
      <c r="C136" s="1" t="n">
        <v>2023</v>
      </c>
    </row>
    <row r="137" customFormat="false" ht="15.75" hidden="false" customHeight="true" outlineLevel="0" collapsed="false">
      <c r="A137" s="1" t="s">
        <v>109</v>
      </c>
      <c r="B137" s="1" t="n">
        <v>22.68</v>
      </c>
      <c r="C137" s="1" t="n">
        <v>2023</v>
      </c>
    </row>
    <row r="138" customFormat="false" ht="15.75" hidden="false" customHeight="true" outlineLevel="0" collapsed="false">
      <c r="A138" s="1" t="s">
        <v>81</v>
      </c>
      <c r="B138" s="1" t="n">
        <v>23.1</v>
      </c>
      <c r="C138" s="1" t="n">
        <v>2023</v>
      </c>
    </row>
    <row r="139" customFormat="false" ht="15.75" hidden="false" customHeight="true" outlineLevel="0" collapsed="false">
      <c r="A139" s="1" t="s">
        <v>86</v>
      </c>
      <c r="B139" s="1" t="n">
        <v>23.49</v>
      </c>
      <c r="C139" s="1" t="n">
        <v>2023</v>
      </c>
    </row>
    <row r="140" customFormat="false" ht="15.75" hidden="false" customHeight="true" outlineLevel="0" collapsed="false">
      <c r="A140" s="1" t="s">
        <v>227</v>
      </c>
      <c r="B140" s="1" t="n">
        <v>23.67</v>
      </c>
      <c r="C140" s="1" t="n">
        <v>2023</v>
      </c>
    </row>
    <row r="141" customFormat="false" ht="15.75" hidden="false" customHeight="true" outlineLevel="0" collapsed="false">
      <c r="A141" s="1" t="s">
        <v>95</v>
      </c>
      <c r="B141" s="1" t="n">
        <v>23.71</v>
      </c>
      <c r="C141" s="1" t="n">
        <v>2023</v>
      </c>
    </row>
    <row r="142" customFormat="false" ht="15.75" hidden="false" customHeight="true" outlineLevel="0" collapsed="false">
      <c r="A142" s="1" t="s">
        <v>139</v>
      </c>
      <c r="B142" s="1" t="n">
        <v>23.8</v>
      </c>
      <c r="C142" s="1" t="n">
        <v>2023</v>
      </c>
    </row>
    <row r="143" customFormat="false" ht="15.75" hidden="false" customHeight="true" outlineLevel="0" collapsed="false">
      <c r="A143" s="1" t="s">
        <v>97</v>
      </c>
      <c r="B143" s="1" t="n">
        <v>24.78</v>
      </c>
      <c r="C143" s="1" t="n">
        <v>2023</v>
      </c>
    </row>
    <row r="144" customFormat="false" ht="15.75" hidden="false" customHeight="true" outlineLevel="0" collapsed="false">
      <c r="A144" s="1" t="s">
        <v>300</v>
      </c>
      <c r="B144" s="1" t="n">
        <v>25.98</v>
      </c>
      <c r="C144" s="1" t="n">
        <v>2023</v>
      </c>
    </row>
    <row r="145" customFormat="false" ht="15.75" hidden="false" customHeight="true" outlineLevel="0" collapsed="false">
      <c r="A145" s="1" t="s">
        <v>69</v>
      </c>
      <c r="B145" s="1" t="n">
        <v>26.09</v>
      </c>
      <c r="C145" s="1" t="n">
        <v>2023</v>
      </c>
    </row>
    <row r="146" customFormat="false" ht="15.75" hidden="false" customHeight="true" outlineLevel="0" collapsed="false">
      <c r="A146" s="1" t="s">
        <v>62</v>
      </c>
      <c r="B146" s="1" t="n">
        <v>26.4</v>
      </c>
      <c r="C146" s="1" t="n">
        <v>2023</v>
      </c>
    </row>
    <row r="147" customFormat="false" ht="15.75" hidden="false" customHeight="true" outlineLevel="0" collapsed="false">
      <c r="A147" s="1" t="s">
        <v>235</v>
      </c>
      <c r="B147" s="1" t="n">
        <v>26.44</v>
      </c>
      <c r="C147" s="1" t="n">
        <v>2023</v>
      </c>
    </row>
    <row r="148" customFormat="false" ht="15.75" hidden="false" customHeight="true" outlineLevel="0" collapsed="false">
      <c r="A148" s="1" t="s">
        <v>132</v>
      </c>
      <c r="B148" s="1" t="n">
        <v>26.69</v>
      </c>
      <c r="C148" s="1" t="n">
        <v>2023</v>
      </c>
    </row>
    <row r="149" customFormat="false" ht="15.75" hidden="false" customHeight="true" outlineLevel="0" collapsed="false">
      <c r="A149" s="1" t="s">
        <v>266</v>
      </c>
      <c r="B149" s="1" t="n">
        <v>27.26</v>
      </c>
      <c r="C149" s="1" t="n">
        <v>2023</v>
      </c>
    </row>
    <row r="150" customFormat="false" ht="15.75" hidden="false" customHeight="true" outlineLevel="0" collapsed="false">
      <c r="A150" s="1" t="s">
        <v>301</v>
      </c>
      <c r="B150" s="1" t="n">
        <v>27.3</v>
      </c>
      <c r="C150" s="1" t="n">
        <v>2023</v>
      </c>
    </row>
    <row r="151" customFormat="false" ht="15.75" hidden="false" customHeight="true" outlineLevel="0" collapsed="false">
      <c r="A151" s="1" t="s">
        <v>53</v>
      </c>
      <c r="B151" s="1" t="n">
        <v>27.72</v>
      </c>
      <c r="C151" s="1" t="n">
        <v>2023</v>
      </c>
    </row>
    <row r="152" customFormat="false" ht="15.75" hidden="false" customHeight="true" outlineLevel="0" collapsed="false">
      <c r="A152" s="1" t="s">
        <v>104</v>
      </c>
      <c r="B152" s="1" t="n">
        <v>28.14</v>
      </c>
      <c r="C152" s="1" t="n">
        <v>2023</v>
      </c>
    </row>
    <row r="153" customFormat="false" ht="15.75" hidden="false" customHeight="true" outlineLevel="0" collapsed="false">
      <c r="A153" s="1" t="s">
        <v>148</v>
      </c>
      <c r="B153" s="1" t="n">
        <v>28.14</v>
      </c>
      <c r="C153" s="1" t="n">
        <v>2023</v>
      </c>
    </row>
    <row r="154" customFormat="false" ht="15.75" hidden="false" customHeight="true" outlineLevel="0" collapsed="false">
      <c r="A154" s="1" t="s">
        <v>77</v>
      </c>
      <c r="B154" s="1" t="n">
        <v>28.55</v>
      </c>
      <c r="C154" s="1" t="n">
        <v>2023</v>
      </c>
    </row>
    <row r="155" customFormat="false" ht="15.75" hidden="false" customHeight="true" outlineLevel="0" collapsed="false">
      <c r="A155" s="1" t="s">
        <v>138</v>
      </c>
      <c r="B155" s="1" t="n">
        <v>29.59</v>
      </c>
      <c r="C155" s="1" t="n">
        <v>2023</v>
      </c>
    </row>
    <row r="156" customFormat="false" ht="15.75" hidden="false" customHeight="true" outlineLevel="0" collapsed="false">
      <c r="A156" s="1" t="s">
        <v>136</v>
      </c>
      <c r="B156" s="1" t="n">
        <v>29.68</v>
      </c>
      <c r="C156" s="1" t="n">
        <v>2023</v>
      </c>
    </row>
    <row r="157" customFormat="false" ht="15.75" hidden="false" customHeight="true" outlineLevel="0" collapsed="false">
      <c r="A157" s="1" t="s">
        <v>198</v>
      </c>
      <c r="B157" s="1" t="n">
        <v>30.07</v>
      </c>
      <c r="C157" s="1" t="n">
        <v>2023</v>
      </c>
    </row>
    <row r="158" customFormat="false" ht="15.75" hidden="false" customHeight="true" outlineLevel="0" collapsed="false">
      <c r="A158" s="1" t="s">
        <v>150</v>
      </c>
      <c r="B158" s="1" t="n">
        <v>30.72</v>
      </c>
      <c r="C158" s="1" t="n">
        <v>2023</v>
      </c>
    </row>
    <row r="159" customFormat="false" ht="15.75" hidden="false" customHeight="true" outlineLevel="0" collapsed="false">
      <c r="A159" s="1" t="s">
        <v>85</v>
      </c>
      <c r="B159" s="1" t="n">
        <v>31.09</v>
      </c>
      <c r="C159" s="1" t="n">
        <v>2023</v>
      </c>
    </row>
    <row r="160" customFormat="false" ht="15.75" hidden="false" customHeight="true" outlineLevel="0" collapsed="false">
      <c r="A160" s="1" t="s">
        <v>157</v>
      </c>
      <c r="B160" s="1" t="n">
        <v>31.21</v>
      </c>
      <c r="C160" s="1" t="n">
        <v>2023</v>
      </c>
    </row>
    <row r="161" customFormat="false" ht="15.75" hidden="false" customHeight="true" outlineLevel="0" collapsed="false">
      <c r="A161" s="1" t="s">
        <v>118</v>
      </c>
      <c r="B161" s="1" t="n">
        <v>31.25</v>
      </c>
      <c r="C161" s="1" t="n">
        <v>2023</v>
      </c>
    </row>
    <row r="162" customFormat="false" ht="15.75" hidden="false" customHeight="true" outlineLevel="0" collapsed="false">
      <c r="A162" s="1" t="s">
        <v>264</v>
      </c>
      <c r="B162" s="1" t="n">
        <v>31.32</v>
      </c>
      <c r="C162" s="1" t="n">
        <v>2023</v>
      </c>
    </row>
    <row r="163" customFormat="false" ht="15.75" hidden="false" customHeight="true" outlineLevel="0" collapsed="false">
      <c r="A163" s="1" t="s">
        <v>61</v>
      </c>
      <c r="B163" s="1" t="n">
        <v>31.99</v>
      </c>
      <c r="C163" s="1" t="n">
        <v>2023</v>
      </c>
    </row>
    <row r="164" customFormat="false" ht="15.75" hidden="false" customHeight="true" outlineLevel="0" collapsed="false">
      <c r="A164" s="1" t="s">
        <v>159</v>
      </c>
      <c r="B164" s="1" t="n">
        <v>32.06</v>
      </c>
      <c r="C164" s="1" t="n">
        <v>2023</v>
      </c>
    </row>
    <row r="165" customFormat="false" ht="15.75" hidden="false" customHeight="true" outlineLevel="0" collapsed="false">
      <c r="A165" s="1" t="s">
        <v>189</v>
      </c>
      <c r="B165" s="1" t="n">
        <v>32.29</v>
      </c>
      <c r="C165" s="1" t="n">
        <v>2023</v>
      </c>
    </row>
    <row r="166" customFormat="false" ht="15.75" hidden="false" customHeight="true" outlineLevel="0" collapsed="false">
      <c r="A166" s="1" t="s">
        <v>75</v>
      </c>
      <c r="B166" s="1" t="n">
        <v>32.63</v>
      </c>
      <c r="C166" s="1" t="n">
        <v>2023</v>
      </c>
    </row>
    <row r="167" customFormat="false" ht="15.75" hidden="false" customHeight="true" outlineLevel="0" collapsed="false">
      <c r="A167" s="1" t="s">
        <v>89</v>
      </c>
      <c r="B167" s="1" t="n">
        <v>32.77</v>
      </c>
      <c r="C167" s="1" t="n">
        <v>2023</v>
      </c>
    </row>
    <row r="168" customFormat="false" ht="15.75" hidden="false" customHeight="true" outlineLevel="0" collapsed="false">
      <c r="A168" s="1" t="s">
        <v>256</v>
      </c>
      <c r="B168" s="1" t="n">
        <v>33.29</v>
      </c>
      <c r="C168" s="1" t="n">
        <v>2023</v>
      </c>
    </row>
    <row r="169" customFormat="false" ht="15.75" hidden="false" customHeight="true" outlineLevel="0" collapsed="false">
      <c r="A169" s="1" t="s">
        <v>98</v>
      </c>
      <c r="B169" s="1" t="n">
        <v>33.35</v>
      </c>
      <c r="C169" s="1" t="n">
        <v>2023</v>
      </c>
    </row>
    <row r="170" customFormat="false" ht="15.75" hidden="false" customHeight="true" outlineLevel="0" collapsed="false">
      <c r="A170" s="1" t="s">
        <v>228</v>
      </c>
      <c r="B170" s="1" t="n">
        <v>33.66</v>
      </c>
      <c r="C170" s="1" t="n">
        <v>2023</v>
      </c>
    </row>
    <row r="171" customFormat="false" ht="15.75" hidden="false" customHeight="true" outlineLevel="0" collapsed="false">
      <c r="A171" s="1" t="s">
        <v>285</v>
      </c>
      <c r="B171" s="1" t="n">
        <v>34.33</v>
      </c>
      <c r="C171" s="1" t="n">
        <v>2023</v>
      </c>
    </row>
    <row r="172" customFormat="false" ht="15.75" hidden="false" customHeight="true" outlineLevel="0" collapsed="false">
      <c r="A172" s="1" t="s">
        <v>151</v>
      </c>
      <c r="B172" s="1" t="n">
        <v>35.07</v>
      </c>
      <c r="C172" s="1" t="n">
        <v>2023</v>
      </c>
    </row>
    <row r="173" customFormat="false" ht="15.75" hidden="false" customHeight="true" outlineLevel="0" collapsed="false">
      <c r="A173" s="1" t="s">
        <v>302</v>
      </c>
      <c r="B173" s="1" t="n">
        <v>35.44</v>
      </c>
      <c r="C173" s="1" t="n">
        <v>2023</v>
      </c>
    </row>
    <row r="174" customFormat="false" ht="15.75" hidden="false" customHeight="true" outlineLevel="0" collapsed="false">
      <c r="A174" s="1" t="s">
        <v>271</v>
      </c>
      <c r="B174" s="1" t="n">
        <v>35.52</v>
      </c>
      <c r="C174" s="1" t="n">
        <v>2023</v>
      </c>
    </row>
    <row r="175" customFormat="false" ht="15.75" hidden="false" customHeight="true" outlineLevel="0" collapsed="false">
      <c r="A175" s="1" t="s">
        <v>214</v>
      </c>
      <c r="B175" s="1" t="n">
        <v>35.69</v>
      </c>
      <c r="C175" s="1" t="n">
        <v>2023</v>
      </c>
    </row>
    <row r="176" customFormat="false" ht="15.75" hidden="false" customHeight="true" outlineLevel="0" collapsed="false">
      <c r="A176" s="1" t="s">
        <v>125</v>
      </c>
      <c r="B176" s="1" t="n">
        <v>35.81</v>
      </c>
      <c r="C176" s="1" t="n">
        <v>2023</v>
      </c>
    </row>
    <row r="177" customFormat="false" ht="15.75" hidden="false" customHeight="true" outlineLevel="0" collapsed="false">
      <c r="A177" s="1" t="s">
        <v>155</v>
      </c>
      <c r="B177" s="1" t="n">
        <v>36.01</v>
      </c>
      <c r="C177" s="1" t="n">
        <v>2023</v>
      </c>
    </row>
    <row r="178" customFormat="false" ht="15.75" hidden="false" customHeight="true" outlineLevel="0" collapsed="false">
      <c r="A178" s="1" t="s">
        <v>303</v>
      </c>
      <c r="B178" s="1" t="n">
        <v>36.54</v>
      </c>
      <c r="C178" s="1" t="n">
        <v>2023</v>
      </c>
    </row>
    <row r="179" customFormat="false" ht="15.75" hidden="false" customHeight="true" outlineLevel="0" collapsed="false">
      <c r="A179" s="1" t="s">
        <v>255</v>
      </c>
      <c r="B179" s="1" t="n">
        <v>37.32</v>
      </c>
      <c r="C179" s="1" t="n">
        <v>2023</v>
      </c>
    </row>
    <row r="180" customFormat="false" ht="15.75" hidden="false" customHeight="true" outlineLevel="0" collapsed="false">
      <c r="A180" s="1" t="s">
        <v>191</v>
      </c>
      <c r="B180" s="1" t="n">
        <v>37.61</v>
      </c>
      <c r="C180" s="1" t="n">
        <v>2023</v>
      </c>
    </row>
    <row r="181" customFormat="false" ht="15.75" hidden="false" customHeight="true" outlineLevel="0" collapsed="false">
      <c r="A181" s="1" t="s">
        <v>162</v>
      </c>
      <c r="B181" s="1" t="n">
        <v>37.95</v>
      </c>
      <c r="C181" s="1" t="n">
        <v>2023</v>
      </c>
    </row>
    <row r="182" customFormat="false" ht="15.75" hidden="false" customHeight="true" outlineLevel="0" collapsed="false">
      <c r="A182" s="1" t="s">
        <v>304</v>
      </c>
      <c r="B182" s="1" t="n">
        <v>38.27</v>
      </c>
      <c r="C182" s="1" t="n">
        <v>2023</v>
      </c>
    </row>
    <row r="183" customFormat="false" ht="15.75" hidden="false" customHeight="true" outlineLevel="0" collapsed="false">
      <c r="A183" s="1" t="s">
        <v>252</v>
      </c>
      <c r="B183" s="1" t="n">
        <v>39.66</v>
      </c>
      <c r="C183" s="1" t="n">
        <v>2023</v>
      </c>
    </row>
    <row r="184" customFormat="false" ht="15.75" hidden="false" customHeight="true" outlineLevel="0" collapsed="false">
      <c r="A184" s="1" t="s">
        <v>106</v>
      </c>
      <c r="B184" s="1" t="n">
        <v>40.25</v>
      </c>
      <c r="C184" s="1" t="n">
        <v>2023</v>
      </c>
    </row>
    <row r="185" customFormat="false" ht="15.75" hidden="false" customHeight="true" outlineLevel="0" collapsed="false">
      <c r="A185" s="1" t="s">
        <v>262</v>
      </c>
      <c r="B185" s="1" t="n">
        <v>40.3</v>
      </c>
      <c r="C185" s="1" t="n">
        <v>2023</v>
      </c>
    </row>
    <row r="186" customFormat="false" ht="15.75" hidden="false" customHeight="true" outlineLevel="0" collapsed="false">
      <c r="A186" s="1" t="s">
        <v>131</v>
      </c>
      <c r="B186" s="1" t="n">
        <v>41.65</v>
      </c>
      <c r="C186" s="1" t="n">
        <v>2023</v>
      </c>
    </row>
    <row r="187" customFormat="false" ht="15.75" hidden="false" customHeight="true" outlineLevel="0" collapsed="false">
      <c r="A187" s="1" t="s">
        <v>263</v>
      </c>
      <c r="B187" s="1" t="n">
        <v>42.22</v>
      </c>
      <c r="C187" s="1" t="n">
        <v>2023</v>
      </c>
    </row>
    <row r="188" customFormat="false" ht="15.75" hidden="false" customHeight="true" outlineLevel="0" collapsed="false">
      <c r="A188" s="1" t="s">
        <v>147</v>
      </c>
      <c r="B188" s="1" t="n">
        <v>42.69</v>
      </c>
      <c r="C188" s="1" t="n">
        <v>2023</v>
      </c>
    </row>
    <row r="189" customFormat="false" ht="15.75" hidden="false" customHeight="true" outlineLevel="0" collapsed="false">
      <c r="A189" s="1" t="s">
        <v>257</v>
      </c>
      <c r="B189" s="1" t="n">
        <v>42.96</v>
      </c>
      <c r="C189" s="1" t="n">
        <v>2023</v>
      </c>
    </row>
    <row r="190" customFormat="false" ht="15.75" hidden="false" customHeight="true" outlineLevel="0" collapsed="false">
      <c r="A190" s="1" t="s">
        <v>112</v>
      </c>
      <c r="B190" s="1" t="n">
        <v>43.15</v>
      </c>
      <c r="C190" s="1" t="n">
        <v>2023</v>
      </c>
    </row>
    <row r="191" customFormat="false" ht="15.75" hidden="false" customHeight="true" outlineLevel="0" collapsed="false">
      <c r="A191" s="1" t="s">
        <v>305</v>
      </c>
      <c r="B191" s="1" t="n">
        <v>45.36</v>
      </c>
      <c r="C191" s="1" t="n">
        <v>2023</v>
      </c>
    </row>
    <row r="192" customFormat="false" ht="15.75" hidden="false" customHeight="true" outlineLevel="0" collapsed="false">
      <c r="A192" s="1" t="s">
        <v>188</v>
      </c>
      <c r="B192" s="1" t="n">
        <v>46.5</v>
      </c>
      <c r="C192" s="1" t="n">
        <v>2023</v>
      </c>
    </row>
    <row r="193" customFormat="false" ht="15.75" hidden="false" customHeight="true" outlineLevel="0" collapsed="false">
      <c r="A193" s="1" t="s">
        <v>134</v>
      </c>
      <c r="B193" s="1" t="n">
        <v>46.84</v>
      </c>
      <c r="C193" s="1" t="n">
        <v>2023</v>
      </c>
    </row>
    <row r="194" customFormat="false" ht="15.75" hidden="false" customHeight="true" outlineLevel="0" collapsed="false">
      <c r="A194" s="1" t="s">
        <v>37</v>
      </c>
      <c r="B194" s="1" t="n">
        <v>46.86</v>
      </c>
      <c r="C194" s="1" t="n">
        <v>2023</v>
      </c>
    </row>
    <row r="195" customFormat="false" ht="15.75" hidden="false" customHeight="true" outlineLevel="0" collapsed="false">
      <c r="A195" s="1" t="s">
        <v>92</v>
      </c>
      <c r="B195" s="1" t="n">
        <v>49.47</v>
      </c>
      <c r="C195" s="1" t="n">
        <v>2023</v>
      </c>
    </row>
    <row r="196" customFormat="false" ht="15.75" hidden="false" customHeight="true" outlineLevel="0" collapsed="false">
      <c r="A196" s="1" t="s">
        <v>110</v>
      </c>
      <c r="B196" s="1" t="n">
        <v>53.2</v>
      </c>
      <c r="C196" s="1" t="n">
        <v>2023</v>
      </c>
    </row>
    <row r="197" customFormat="false" ht="15.75" hidden="false" customHeight="true" outlineLevel="0" collapsed="false">
      <c r="A197" s="1" t="s">
        <v>96</v>
      </c>
      <c r="B197" s="1" t="n">
        <v>54.05</v>
      </c>
      <c r="C197" s="1" t="n">
        <v>2023</v>
      </c>
    </row>
    <row r="198" customFormat="false" ht="15.75" hidden="false" customHeight="true" outlineLevel="0" collapsed="false">
      <c r="A198" s="1" t="s">
        <v>306</v>
      </c>
      <c r="B198" s="1" t="n">
        <v>55.16</v>
      </c>
      <c r="C198" s="1" t="n">
        <v>2023</v>
      </c>
    </row>
    <row r="199" customFormat="false" ht="15.75" hidden="false" customHeight="true" outlineLevel="0" collapsed="false">
      <c r="A199" s="1" t="s">
        <v>143</v>
      </c>
      <c r="B199" s="1" t="n">
        <v>55.6</v>
      </c>
      <c r="C199" s="1" t="n">
        <v>2023</v>
      </c>
    </row>
    <row r="200" customFormat="false" ht="15.75" hidden="false" customHeight="true" outlineLevel="0" collapsed="false">
      <c r="A200" s="1" t="s">
        <v>39</v>
      </c>
      <c r="B200" s="1" t="n">
        <v>56.57</v>
      </c>
      <c r="C200" s="1" t="n">
        <v>2023</v>
      </c>
    </row>
    <row r="201" customFormat="false" ht="15.75" hidden="false" customHeight="true" outlineLevel="0" collapsed="false">
      <c r="A201" s="1" t="s">
        <v>33</v>
      </c>
      <c r="B201" s="1" t="n">
        <v>57.19</v>
      </c>
      <c r="C201" s="1" t="n">
        <v>2023</v>
      </c>
    </row>
    <row r="202" customFormat="false" ht="15.75" hidden="false" customHeight="true" outlineLevel="0" collapsed="false">
      <c r="A202" s="1" t="s">
        <v>111</v>
      </c>
      <c r="B202" s="1" t="n">
        <v>58.37</v>
      </c>
      <c r="C202" s="1" t="n">
        <v>2023</v>
      </c>
    </row>
    <row r="203" customFormat="false" ht="15.75" hidden="false" customHeight="true" outlineLevel="0" collapsed="false">
      <c r="A203" s="1" t="s">
        <v>27</v>
      </c>
      <c r="B203" s="1" t="n">
        <v>62.35</v>
      </c>
      <c r="C203" s="1" t="n">
        <v>2023</v>
      </c>
    </row>
    <row r="204" customFormat="false" ht="15.75" hidden="false" customHeight="true" outlineLevel="0" collapsed="false">
      <c r="A204" s="1" t="s">
        <v>209</v>
      </c>
      <c r="B204" s="1" t="n">
        <v>65.23</v>
      </c>
      <c r="C204" s="1" t="n">
        <v>2023</v>
      </c>
    </row>
    <row r="205" customFormat="false" ht="15.75" hidden="false" customHeight="true" outlineLevel="0" collapsed="false">
      <c r="A205" s="1" t="s">
        <v>160</v>
      </c>
      <c r="B205" s="1" t="n">
        <v>65.74</v>
      </c>
      <c r="C205" s="1" t="n">
        <v>2023</v>
      </c>
    </row>
    <row r="206" customFormat="false" ht="15.75" hidden="false" customHeight="true" outlineLevel="0" collapsed="false">
      <c r="A206" s="1" t="s">
        <v>107</v>
      </c>
      <c r="B206" s="1" t="n">
        <v>69.25</v>
      </c>
      <c r="C206" s="1" t="n">
        <v>2023</v>
      </c>
    </row>
    <row r="207" customFormat="false" ht="15.75" hidden="false" customHeight="true" outlineLevel="0" collapsed="false">
      <c r="A207" s="1" t="s">
        <v>44</v>
      </c>
      <c r="B207" s="1" t="n">
        <v>73.52</v>
      </c>
      <c r="C207" s="1" t="n">
        <v>2023</v>
      </c>
    </row>
    <row r="208" customFormat="false" ht="15.75" hidden="false" customHeight="true" outlineLevel="0" collapsed="false">
      <c r="A208" s="1" t="s">
        <v>19</v>
      </c>
      <c r="B208" s="1" t="n">
        <v>107.76</v>
      </c>
      <c r="C208" s="1" t="n">
        <v>2023</v>
      </c>
    </row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1" width="27.67"/>
    <col collapsed="false" customWidth="true" hidden="false" outlineLevel="0" max="26" min="2" style="1" width="10.56"/>
  </cols>
  <sheetData>
    <row r="1" customFormat="false" ht="15.75" hidden="false" customHeight="true" outlineLevel="0" collapsed="false">
      <c r="A1" s="2" t="s">
        <v>0</v>
      </c>
      <c r="B1" s="2" t="s">
        <v>307</v>
      </c>
      <c r="C1" s="3" t="s">
        <v>308</v>
      </c>
      <c r="E1" s="2" t="s">
        <v>0</v>
      </c>
      <c r="F1" s="2" t="s">
        <v>309</v>
      </c>
      <c r="G1" s="3" t="s">
        <v>310</v>
      </c>
    </row>
    <row r="2" customFormat="false" ht="15.75" hidden="false" customHeight="true" outlineLevel="0" collapsed="false">
      <c r="A2" s="1" t="s">
        <v>85</v>
      </c>
      <c r="B2" s="1" t="n">
        <v>4029</v>
      </c>
      <c r="E2" s="1" t="s">
        <v>108</v>
      </c>
      <c r="F2" s="1" t="n">
        <v>99.9</v>
      </c>
    </row>
    <row r="3" customFormat="false" ht="15.75" hidden="false" customHeight="true" outlineLevel="0" collapsed="false">
      <c r="A3" s="1" t="s">
        <v>100</v>
      </c>
      <c r="B3" s="1" t="n">
        <v>3871</v>
      </c>
      <c r="E3" s="1" t="s">
        <v>100</v>
      </c>
      <c r="F3" s="1" t="n">
        <v>99.8</v>
      </c>
    </row>
    <row r="4" customFormat="false" ht="15.75" hidden="false" customHeight="true" outlineLevel="0" collapsed="false">
      <c r="A4" s="1" t="s">
        <v>99</v>
      </c>
      <c r="B4" s="1" t="n">
        <v>3684</v>
      </c>
      <c r="E4" s="1" t="s">
        <v>63</v>
      </c>
      <c r="F4" s="1" t="n">
        <v>99.5</v>
      </c>
    </row>
    <row r="5" customFormat="false" ht="15.75" hidden="false" customHeight="true" outlineLevel="0" collapsed="false">
      <c r="A5" s="1" t="s">
        <v>53</v>
      </c>
      <c r="B5" s="1" t="n">
        <v>3533</v>
      </c>
      <c r="E5" s="1" t="s">
        <v>88</v>
      </c>
      <c r="F5" s="1" t="n">
        <v>98.7</v>
      </c>
    </row>
    <row r="6" customFormat="false" ht="15.75" hidden="false" customHeight="true" outlineLevel="0" collapsed="false">
      <c r="A6" s="1" t="s">
        <v>82</v>
      </c>
      <c r="B6" s="1" t="n">
        <v>3521</v>
      </c>
      <c r="E6" s="1" t="s">
        <v>82</v>
      </c>
      <c r="F6" s="1" t="n">
        <v>98.4</v>
      </c>
    </row>
    <row r="7" customFormat="false" ht="15.75" hidden="false" customHeight="true" outlineLevel="0" collapsed="false">
      <c r="A7" s="1" t="s">
        <v>94</v>
      </c>
      <c r="B7" s="1" t="n">
        <v>3506</v>
      </c>
      <c r="E7" s="1" t="s">
        <v>71</v>
      </c>
      <c r="F7" s="1" t="n">
        <v>98.3</v>
      </c>
    </row>
    <row r="8" customFormat="false" ht="15.75" hidden="false" customHeight="true" outlineLevel="0" collapsed="false">
      <c r="A8" s="1" t="s">
        <v>157</v>
      </c>
      <c r="B8" s="1" t="n">
        <v>3481</v>
      </c>
      <c r="E8" s="1" t="s">
        <v>60</v>
      </c>
      <c r="F8" s="1" t="n">
        <v>98</v>
      </c>
    </row>
    <row r="9" customFormat="false" ht="15.75" hidden="false" customHeight="true" outlineLevel="0" collapsed="false">
      <c r="A9" s="1" t="s">
        <v>81</v>
      </c>
      <c r="B9" s="1" t="n">
        <v>3478</v>
      </c>
      <c r="E9" s="1" t="s">
        <v>85</v>
      </c>
      <c r="F9" s="1" t="n">
        <v>97.7</v>
      </c>
    </row>
    <row r="10" customFormat="false" ht="15.75" hidden="false" customHeight="true" outlineLevel="0" collapsed="false">
      <c r="A10" s="1" t="s">
        <v>73</v>
      </c>
      <c r="B10" s="1" t="n">
        <v>3462</v>
      </c>
      <c r="E10" s="1" t="s">
        <v>46</v>
      </c>
      <c r="F10" s="1" t="n">
        <v>97.4</v>
      </c>
    </row>
    <row r="11" customFormat="false" ht="15.75" hidden="false" customHeight="true" outlineLevel="0" collapsed="false">
      <c r="A11" s="1" t="s">
        <v>20</v>
      </c>
      <c r="B11" s="1" t="n">
        <v>3315</v>
      </c>
      <c r="E11" s="1" t="s">
        <v>91</v>
      </c>
      <c r="F11" s="1" t="n">
        <v>97.4</v>
      </c>
    </row>
    <row r="12" customFormat="false" ht="15.75" hidden="false" customHeight="true" outlineLevel="0" collapsed="false">
      <c r="A12" s="1" t="s">
        <v>71</v>
      </c>
      <c r="B12" s="1" t="n">
        <v>3231</v>
      </c>
      <c r="E12" s="1" t="s">
        <v>54</v>
      </c>
      <c r="F12" s="1" t="n">
        <v>97.3</v>
      </c>
    </row>
    <row r="13" customFormat="false" ht="15.75" hidden="false" customHeight="true" outlineLevel="0" collapsed="false">
      <c r="A13" s="1" t="s">
        <v>54</v>
      </c>
      <c r="B13" s="1" t="n">
        <v>3176</v>
      </c>
      <c r="E13" s="1" t="s">
        <v>35</v>
      </c>
      <c r="F13" s="1" t="n">
        <v>95.5</v>
      </c>
    </row>
    <row r="14" customFormat="false" ht="15.75" hidden="false" customHeight="true" outlineLevel="0" collapsed="false">
      <c r="A14" s="1" t="s">
        <v>35</v>
      </c>
      <c r="B14" s="1" t="n">
        <v>3149</v>
      </c>
      <c r="E14" s="1" t="s">
        <v>53</v>
      </c>
      <c r="F14" s="1" t="n">
        <v>95.3</v>
      </c>
    </row>
    <row r="15" customFormat="false" ht="15.75" hidden="false" customHeight="true" outlineLevel="0" collapsed="false">
      <c r="A15" s="1" t="s">
        <v>110</v>
      </c>
      <c r="B15" s="1" t="n">
        <v>3147</v>
      </c>
      <c r="E15" s="1" t="s">
        <v>132</v>
      </c>
      <c r="F15" s="1" t="n">
        <v>94.7</v>
      </c>
    </row>
    <row r="16" customFormat="false" ht="15.75" hidden="false" customHeight="true" outlineLevel="0" collapsed="false">
      <c r="A16" s="1" t="s">
        <v>63</v>
      </c>
      <c r="B16" s="1" t="n">
        <v>3134</v>
      </c>
      <c r="E16" s="1" t="s">
        <v>20</v>
      </c>
      <c r="F16" s="1" t="n">
        <v>93.8</v>
      </c>
    </row>
    <row r="17" customFormat="false" ht="15.75" hidden="false" customHeight="true" outlineLevel="0" collapsed="false">
      <c r="A17" s="1" t="s">
        <v>103</v>
      </c>
      <c r="B17" s="1" t="n">
        <v>3100</v>
      </c>
      <c r="E17" s="1" t="s">
        <v>22</v>
      </c>
      <c r="F17" s="1" t="n">
        <v>93.8</v>
      </c>
    </row>
    <row r="18" customFormat="false" ht="15.75" hidden="false" customHeight="true" outlineLevel="0" collapsed="false">
      <c r="A18" s="1" t="s">
        <v>101</v>
      </c>
      <c r="B18" s="1" t="n">
        <v>3026</v>
      </c>
      <c r="E18" s="1" t="s">
        <v>41</v>
      </c>
      <c r="F18" s="1" t="n">
        <v>93.6</v>
      </c>
    </row>
    <row r="19" customFormat="false" ht="15.75" hidden="false" customHeight="true" outlineLevel="0" collapsed="false">
      <c r="A19" s="1" t="s">
        <v>41</v>
      </c>
      <c r="B19" s="1" t="n">
        <v>3001</v>
      </c>
      <c r="E19" s="1" t="s">
        <v>62</v>
      </c>
      <c r="F19" s="1" t="n">
        <v>93.3</v>
      </c>
    </row>
    <row r="20" customFormat="false" ht="15.75" hidden="false" customHeight="true" outlineLevel="0" collapsed="false">
      <c r="A20" s="1" t="s">
        <v>75</v>
      </c>
      <c r="B20" s="1" t="n">
        <v>2962</v>
      </c>
      <c r="E20" s="1" t="s">
        <v>101</v>
      </c>
      <c r="F20" s="1" t="n">
        <v>93.2</v>
      </c>
    </row>
    <row r="21" customFormat="false" ht="15.75" hidden="false" customHeight="true" outlineLevel="0" collapsed="false">
      <c r="A21" s="1" t="s">
        <v>91</v>
      </c>
      <c r="B21" s="1" t="n">
        <v>2930</v>
      </c>
      <c r="E21" s="1" t="s">
        <v>45</v>
      </c>
      <c r="F21" s="1" t="n">
        <v>92.2</v>
      </c>
    </row>
    <row r="22" customFormat="false" ht="15.75" hidden="false" customHeight="true" outlineLevel="0" collapsed="false">
      <c r="A22" s="1" t="s">
        <v>22</v>
      </c>
      <c r="B22" s="1" t="n">
        <v>2897</v>
      </c>
      <c r="E22" s="1" t="s">
        <v>112</v>
      </c>
      <c r="F22" s="1" t="n">
        <v>92</v>
      </c>
    </row>
    <row r="23" customFormat="false" ht="15.75" hidden="false" customHeight="true" outlineLevel="0" collapsed="false">
      <c r="A23" s="1" t="s">
        <v>112</v>
      </c>
      <c r="B23" s="1" t="n">
        <v>2896</v>
      </c>
      <c r="E23" s="1" t="s">
        <v>59</v>
      </c>
      <c r="F23" s="1" t="n">
        <v>91.8</v>
      </c>
    </row>
    <row r="24" customFormat="false" ht="15.75" hidden="false" customHeight="true" outlineLevel="0" collapsed="false">
      <c r="A24" s="1" t="s">
        <v>59</v>
      </c>
      <c r="B24" s="1" t="n">
        <v>2848</v>
      </c>
      <c r="E24" s="1" t="s">
        <v>95</v>
      </c>
      <c r="F24" s="1" t="n">
        <v>91.4</v>
      </c>
    </row>
    <row r="25" customFormat="false" ht="15.75" hidden="false" customHeight="true" outlineLevel="0" collapsed="false">
      <c r="A25" s="1" t="s">
        <v>45</v>
      </c>
      <c r="B25" s="1" t="n">
        <v>2823</v>
      </c>
      <c r="E25" s="1" t="s">
        <v>34</v>
      </c>
      <c r="F25" s="1" t="n">
        <v>90.2</v>
      </c>
    </row>
    <row r="26" customFormat="false" ht="15.75" hidden="false" customHeight="true" outlineLevel="0" collapsed="false">
      <c r="A26" s="1" t="s">
        <v>108</v>
      </c>
      <c r="B26" s="1" t="n">
        <v>2821</v>
      </c>
      <c r="E26" s="1" t="s">
        <v>43</v>
      </c>
      <c r="F26" s="1" t="n">
        <v>90.2</v>
      </c>
    </row>
    <row r="27" customFormat="false" ht="15.75" hidden="false" customHeight="true" outlineLevel="0" collapsed="false">
      <c r="A27" s="1" t="s">
        <v>43</v>
      </c>
      <c r="B27" s="1" t="n">
        <v>2758</v>
      </c>
      <c r="E27" s="1" t="s">
        <v>81</v>
      </c>
      <c r="F27" s="1" t="n">
        <v>90.2</v>
      </c>
    </row>
    <row r="28" customFormat="false" ht="15.75" hidden="false" customHeight="true" outlineLevel="0" collapsed="false">
      <c r="A28" s="1" t="s">
        <v>76</v>
      </c>
      <c r="B28" s="1" t="n">
        <v>2714</v>
      </c>
      <c r="E28" s="1" t="s">
        <v>52</v>
      </c>
      <c r="F28" s="1" t="n">
        <v>89.2</v>
      </c>
    </row>
    <row r="29" customFormat="false" ht="15.75" hidden="false" customHeight="true" outlineLevel="0" collapsed="false">
      <c r="A29" s="1" t="s">
        <v>34</v>
      </c>
      <c r="B29" s="1" t="n">
        <v>2710</v>
      </c>
      <c r="E29" s="1" t="s">
        <v>75</v>
      </c>
      <c r="F29" s="1" t="n">
        <v>89</v>
      </c>
    </row>
    <row r="30" customFormat="false" ht="15.75" hidden="false" customHeight="true" outlineLevel="0" collapsed="false">
      <c r="A30" s="1" t="s">
        <v>62</v>
      </c>
      <c r="B30" s="1" t="n">
        <v>2593</v>
      </c>
      <c r="E30" s="1" t="s">
        <v>84</v>
      </c>
      <c r="F30" s="1" t="n">
        <v>88.5</v>
      </c>
    </row>
    <row r="31" customFormat="false" ht="15.75" hidden="false" customHeight="true" outlineLevel="0" collapsed="false">
      <c r="A31" s="1" t="s">
        <v>79</v>
      </c>
      <c r="B31" s="1" t="n">
        <v>2553</v>
      </c>
      <c r="E31" s="1" t="s">
        <v>24</v>
      </c>
      <c r="F31" s="1" t="n">
        <v>87.8</v>
      </c>
    </row>
    <row r="32" customFormat="false" ht="15.75" hidden="false" customHeight="true" outlineLevel="0" collapsed="false">
      <c r="A32" s="1" t="s">
        <v>52</v>
      </c>
      <c r="B32" s="1" t="n">
        <v>2524</v>
      </c>
      <c r="E32" s="1" t="s">
        <v>21</v>
      </c>
      <c r="F32" s="1" t="n">
        <v>87.2</v>
      </c>
    </row>
    <row r="33" customFormat="false" ht="15.75" hidden="false" customHeight="true" outlineLevel="0" collapsed="false">
      <c r="A33" s="1" t="s">
        <v>64</v>
      </c>
      <c r="B33" s="1" t="n">
        <v>2507</v>
      </c>
      <c r="E33" s="1" t="s">
        <v>23</v>
      </c>
      <c r="F33" s="1" t="n">
        <v>87.2</v>
      </c>
    </row>
    <row r="34" customFormat="false" ht="15.75" hidden="false" customHeight="true" outlineLevel="0" collapsed="false">
      <c r="A34" s="1" t="s">
        <v>67</v>
      </c>
      <c r="B34" s="1" t="n">
        <v>2506</v>
      </c>
      <c r="E34" s="1" t="s">
        <v>76</v>
      </c>
      <c r="F34" s="1" t="n">
        <v>86.4</v>
      </c>
    </row>
    <row r="35" customFormat="false" ht="15.75" hidden="false" customHeight="true" outlineLevel="0" collapsed="false">
      <c r="A35" s="1" t="s">
        <v>58</v>
      </c>
      <c r="B35" s="1" t="n">
        <v>2505</v>
      </c>
      <c r="E35" s="1" t="s">
        <v>30</v>
      </c>
      <c r="F35" s="1" t="n">
        <v>86</v>
      </c>
    </row>
    <row r="36" customFormat="false" ht="15.75" hidden="false" customHeight="true" outlineLevel="0" collapsed="false">
      <c r="A36" s="1" t="s">
        <v>154</v>
      </c>
      <c r="B36" s="1" t="n">
        <v>2503</v>
      </c>
      <c r="E36" s="1" t="s">
        <v>40</v>
      </c>
      <c r="F36" s="1" t="n">
        <v>85.3</v>
      </c>
    </row>
    <row r="37" customFormat="false" ht="15.75" hidden="false" customHeight="true" outlineLevel="0" collapsed="false">
      <c r="A37" s="1" t="s">
        <v>55</v>
      </c>
      <c r="B37" s="1" t="n">
        <v>2457</v>
      </c>
      <c r="E37" s="1" t="s">
        <v>73</v>
      </c>
      <c r="F37" s="1" t="n">
        <v>85.3</v>
      </c>
    </row>
    <row r="38" customFormat="false" ht="15.75" hidden="false" customHeight="true" outlineLevel="0" collapsed="false">
      <c r="A38" s="1" t="s">
        <v>88</v>
      </c>
      <c r="B38" s="1" t="n">
        <v>2446</v>
      </c>
      <c r="E38" s="1" t="s">
        <v>94</v>
      </c>
      <c r="F38" s="1" t="n">
        <v>85.2</v>
      </c>
    </row>
    <row r="39" customFormat="false" ht="15.75" hidden="false" customHeight="true" outlineLevel="0" collapsed="false">
      <c r="A39" s="1" t="s">
        <v>83</v>
      </c>
      <c r="B39" s="1" t="n">
        <v>2421</v>
      </c>
      <c r="E39" s="1" t="s">
        <v>48</v>
      </c>
      <c r="F39" s="1" t="n">
        <v>84.4</v>
      </c>
    </row>
    <row r="40" customFormat="false" ht="15.75" hidden="false" customHeight="true" outlineLevel="0" collapsed="false">
      <c r="A40" s="1" t="s">
        <v>17</v>
      </c>
      <c r="B40" s="1" t="n">
        <v>2418</v>
      </c>
      <c r="E40" s="1" t="s">
        <v>26</v>
      </c>
      <c r="F40" s="1" t="n">
        <v>83.6</v>
      </c>
    </row>
    <row r="41" customFormat="false" ht="15.75" hidden="false" customHeight="true" outlineLevel="0" collapsed="false">
      <c r="A41" s="1" t="s">
        <v>69</v>
      </c>
      <c r="B41" s="1" t="n">
        <v>2412</v>
      </c>
      <c r="E41" s="1" t="s">
        <v>67</v>
      </c>
      <c r="F41" s="1" t="n">
        <v>83.2</v>
      </c>
    </row>
    <row r="42" customFormat="false" ht="15.75" hidden="false" customHeight="true" outlineLevel="0" collapsed="false">
      <c r="A42" s="1" t="s">
        <v>84</v>
      </c>
      <c r="B42" s="1" t="n">
        <v>2407</v>
      </c>
      <c r="E42" s="1" t="s">
        <v>25</v>
      </c>
      <c r="F42" s="1" t="n">
        <v>82.9</v>
      </c>
    </row>
    <row r="43" customFormat="false" ht="15.75" hidden="false" customHeight="true" outlineLevel="0" collapsed="false">
      <c r="A43" s="1" t="s">
        <v>65</v>
      </c>
      <c r="B43" s="1" t="n">
        <v>2392</v>
      </c>
      <c r="E43" s="1" t="s">
        <v>58</v>
      </c>
      <c r="F43" s="1" t="n">
        <v>82.8</v>
      </c>
    </row>
    <row r="44" customFormat="false" ht="15.75" hidden="false" customHeight="true" outlineLevel="0" collapsed="false">
      <c r="A44" s="1" t="s">
        <v>30</v>
      </c>
      <c r="B44" s="1" t="n">
        <v>2389</v>
      </c>
      <c r="E44" s="1" t="s">
        <v>13</v>
      </c>
      <c r="F44" s="1" t="n">
        <v>82.6</v>
      </c>
    </row>
    <row r="45" customFormat="false" ht="15.75" hidden="false" customHeight="true" outlineLevel="0" collapsed="false">
      <c r="A45" s="1" t="s">
        <v>106</v>
      </c>
      <c r="B45" s="1" t="n">
        <v>2389</v>
      </c>
      <c r="E45" s="1" t="s">
        <v>18</v>
      </c>
      <c r="F45" s="1" t="n">
        <v>82.5</v>
      </c>
    </row>
    <row r="46" customFormat="false" ht="15.75" hidden="false" customHeight="true" outlineLevel="0" collapsed="false">
      <c r="A46" s="1" t="s">
        <v>56</v>
      </c>
      <c r="B46" s="1" t="n">
        <v>2385</v>
      </c>
      <c r="E46" s="1" t="s">
        <v>69</v>
      </c>
      <c r="F46" s="1" t="n">
        <v>80.5</v>
      </c>
    </row>
    <row r="47" customFormat="false" ht="15.75" hidden="false" customHeight="true" outlineLevel="0" collapsed="false">
      <c r="A47" s="1" t="s">
        <v>28</v>
      </c>
      <c r="B47" s="1" t="n">
        <v>2382</v>
      </c>
      <c r="E47" s="1" t="s">
        <v>47</v>
      </c>
      <c r="F47" s="1" t="n">
        <v>80.1</v>
      </c>
    </row>
    <row r="48" customFormat="false" ht="15.75" hidden="false" customHeight="true" outlineLevel="0" collapsed="false">
      <c r="A48" s="1" t="s">
        <v>49</v>
      </c>
      <c r="B48" s="1" t="n">
        <v>2372</v>
      </c>
      <c r="E48" s="1" t="s">
        <v>12</v>
      </c>
      <c r="F48" s="1" t="n">
        <v>79.2</v>
      </c>
    </row>
    <row r="49" customFormat="false" ht="15.75" hidden="false" customHeight="true" outlineLevel="0" collapsed="false">
      <c r="A49" s="1" t="s">
        <v>74</v>
      </c>
      <c r="B49" s="1" t="n">
        <v>2369</v>
      </c>
      <c r="E49" s="1" t="s">
        <v>61</v>
      </c>
      <c r="F49" s="1" t="n">
        <v>79.2</v>
      </c>
    </row>
    <row r="50" customFormat="false" ht="15.75" hidden="false" customHeight="true" outlineLevel="0" collapsed="false">
      <c r="A50" s="1" t="s">
        <v>12</v>
      </c>
      <c r="B50" s="1" t="n">
        <v>2357</v>
      </c>
      <c r="E50" s="1" t="s">
        <v>55</v>
      </c>
      <c r="F50" s="1" t="n">
        <v>78.7</v>
      </c>
    </row>
    <row r="51" customFormat="false" ht="15.75" hidden="false" customHeight="true" outlineLevel="0" collapsed="false">
      <c r="A51" s="1" t="s">
        <v>93</v>
      </c>
      <c r="B51" s="1" t="n">
        <v>2356</v>
      </c>
      <c r="E51" s="1" t="s">
        <v>17</v>
      </c>
      <c r="F51" s="1" t="n">
        <v>78.5</v>
      </c>
    </row>
    <row r="52" customFormat="false" ht="15.75" hidden="false" customHeight="true" outlineLevel="0" collapsed="false">
      <c r="A52" s="1" t="s">
        <v>47</v>
      </c>
      <c r="B52" s="1" t="n">
        <v>2342</v>
      </c>
      <c r="E52" s="1" t="s">
        <v>56</v>
      </c>
      <c r="F52" s="1" t="n">
        <v>78.1</v>
      </c>
    </row>
    <row r="53" customFormat="false" ht="15.75" hidden="false" customHeight="true" outlineLevel="0" collapsed="false">
      <c r="A53" s="1" t="s">
        <v>25</v>
      </c>
      <c r="B53" s="1" t="n">
        <v>2327</v>
      </c>
      <c r="E53" s="1" t="s">
        <v>28</v>
      </c>
      <c r="F53" s="1" t="n">
        <v>77.8</v>
      </c>
    </row>
    <row r="54" customFormat="false" ht="15.75" hidden="false" customHeight="true" outlineLevel="0" collapsed="false">
      <c r="A54" s="1" t="s">
        <v>77</v>
      </c>
      <c r="B54" s="1" t="n">
        <v>2311</v>
      </c>
      <c r="E54" s="1" t="s">
        <v>29</v>
      </c>
      <c r="F54" s="1" t="n">
        <v>76.5</v>
      </c>
    </row>
    <row r="55" customFormat="false" ht="15.75" hidden="false" customHeight="true" outlineLevel="0" collapsed="false">
      <c r="A55" s="1" t="s">
        <v>89</v>
      </c>
      <c r="B55" s="1" t="n">
        <v>2281</v>
      </c>
      <c r="E55" s="1" t="s">
        <v>79</v>
      </c>
      <c r="F55" s="1" t="n">
        <v>76.3</v>
      </c>
    </row>
    <row r="56" customFormat="false" ht="15.75" hidden="false" customHeight="true" outlineLevel="0" collapsed="false">
      <c r="A56" s="1" t="s">
        <v>90</v>
      </c>
      <c r="B56" s="1" t="n">
        <v>2248</v>
      </c>
      <c r="E56" s="1" t="s">
        <v>65</v>
      </c>
      <c r="F56" s="1" t="n">
        <v>76.2</v>
      </c>
    </row>
    <row r="57" customFormat="false" ht="15.75" hidden="false" customHeight="true" outlineLevel="0" collapsed="false">
      <c r="A57" s="1" t="s">
        <v>51</v>
      </c>
      <c r="B57" s="1" t="n">
        <v>2247</v>
      </c>
      <c r="E57" s="1" t="s">
        <v>49</v>
      </c>
      <c r="F57" s="1" t="n">
        <v>76.1</v>
      </c>
    </row>
    <row r="58" customFormat="false" ht="15.75" hidden="false" customHeight="true" outlineLevel="0" collapsed="false">
      <c r="A58" s="1" t="s">
        <v>95</v>
      </c>
      <c r="B58" s="1" t="n">
        <v>2247</v>
      </c>
      <c r="E58" s="1" t="s">
        <v>51</v>
      </c>
      <c r="F58" s="1" t="n">
        <v>75.9</v>
      </c>
    </row>
    <row r="59" customFormat="false" ht="15.75" hidden="false" customHeight="true" outlineLevel="0" collapsed="false">
      <c r="A59" s="1" t="s">
        <v>23</v>
      </c>
      <c r="B59" s="1" t="n">
        <v>2219</v>
      </c>
      <c r="E59" s="1" t="s">
        <v>57</v>
      </c>
      <c r="F59" s="1" t="n">
        <v>74.7</v>
      </c>
    </row>
    <row r="60" customFormat="false" ht="15.75" hidden="false" customHeight="true" outlineLevel="0" collapsed="false">
      <c r="A60" s="1" t="s">
        <v>13</v>
      </c>
      <c r="B60" s="1" t="n">
        <v>2218</v>
      </c>
      <c r="E60" s="1" t="s">
        <v>111</v>
      </c>
      <c r="F60" s="1" t="n">
        <v>71.9</v>
      </c>
    </row>
    <row r="61" customFormat="false" ht="15.75" hidden="false" customHeight="true" outlineLevel="0" collapsed="false">
      <c r="A61" s="1" t="s">
        <v>48</v>
      </c>
      <c r="B61" s="1" t="n">
        <v>2218</v>
      </c>
      <c r="E61" s="1" t="s">
        <v>107</v>
      </c>
      <c r="F61" s="1" t="n">
        <v>71.3</v>
      </c>
    </row>
    <row r="62" customFormat="false" ht="15.75" hidden="false" customHeight="true" outlineLevel="0" collapsed="false">
      <c r="A62" s="1" t="s">
        <v>40</v>
      </c>
      <c r="B62" s="1" t="n">
        <v>2190</v>
      </c>
      <c r="E62" s="1" t="s">
        <v>97</v>
      </c>
      <c r="F62" s="1" t="n">
        <v>71.2</v>
      </c>
    </row>
    <row r="63" customFormat="false" ht="15.75" hidden="false" customHeight="true" outlineLevel="0" collapsed="false">
      <c r="A63" s="1" t="s">
        <v>21</v>
      </c>
      <c r="B63" s="1" t="n">
        <v>2185</v>
      </c>
      <c r="E63" s="1" t="s">
        <v>106</v>
      </c>
      <c r="F63" s="1" t="n">
        <v>71</v>
      </c>
    </row>
    <row r="64" customFormat="false" ht="15.75" hidden="false" customHeight="true" outlineLevel="0" collapsed="false">
      <c r="A64" s="1" t="s">
        <v>61</v>
      </c>
      <c r="B64" s="1" t="n">
        <v>2148</v>
      </c>
      <c r="E64" s="1" t="s">
        <v>90</v>
      </c>
      <c r="F64" s="1" t="n">
        <v>70.7</v>
      </c>
    </row>
    <row r="65" customFormat="false" ht="15.75" hidden="false" customHeight="true" outlineLevel="0" collapsed="false">
      <c r="A65" s="1" t="s">
        <v>80</v>
      </c>
      <c r="B65" s="1" t="n">
        <v>2138</v>
      </c>
      <c r="E65" s="1" t="s">
        <v>86</v>
      </c>
      <c r="F65" s="1" t="n">
        <v>69.4</v>
      </c>
    </row>
    <row r="66" customFormat="false" ht="15.75" hidden="false" customHeight="true" outlineLevel="0" collapsed="false">
      <c r="A66" s="1" t="s">
        <v>92</v>
      </c>
      <c r="B66" s="1" t="n">
        <v>2113</v>
      </c>
      <c r="E66" s="1" t="s">
        <v>14</v>
      </c>
      <c r="F66" s="1" t="n">
        <v>68.8</v>
      </c>
    </row>
    <row r="67" customFormat="false" ht="15.75" hidden="false" customHeight="true" outlineLevel="0" collapsed="false">
      <c r="A67" s="1" t="s">
        <v>27</v>
      </c>
      <c r="B67" s="1" t="n">
        <v>2087</v>
      </c>
      <c r="E67" s="1" t="s">
        <v>16</v>
      </c>
      <c r="F67" s="1" t="n">
        <v>68.5</v>
      </c>
    </row>
    <row r="68" customFormat="false" ht="15.75" hidden="false" customHeight="true" outlineLevel="0" collapsed="false">
      <c r="A68" s="1" t="s">
        <v>24</v>
      </c>
      <c r="B68" s="1" t="n">
        <v>2068</v>
      </c>
      <c r="E68" s="1" t="s">
        <v>38</v>
      </c>
      <c r="F68" s="1" t="n">
        <v>68.4</v>
      </c>
    </row>
    <row r="69" customFormat="false" ht="15.75" hidden="false" customHeight="true" outlineLevel="0" collapsed="false">
      <c r="A69" s="1" t="s">
        <v>50</v>
      </c>
      <c r="B69" s="1" t="n">
        <v>2068</v>
      </c>
      <c r="E69" s="1" t="s">
        <v>50</v>
      </c>
      <c r="F69" s="1" t="n">
        <v>67.8</v>
      </c>
    </row>
    <row r="70" customFormat="false" ht="15.75" hidden="false" customHeight="true" outlineLevel="0" collapsed="false">
      <c r="A70" s="1" t="s">
        <v>31</v>
      </c>
      <c r="B70" s="1" t="n">
        <v>2015</v>
      </c>
      <c r="E70" s="1" t="s">
        <v>70</v>
      </c>
      <c r="F70" s="1" t="n">
        <v>67.8</v>
      </c>
    </row>
    <row r="71" customFormat="false" ht="15.75" hidden="false" customHeight="true" outlineLevel="0" collapsed="false">
      <c r="A71" s="1" t="s">
        <v>57</v>
      </c>
      <c r="B71" s="1" t="n">
        <v>2013</v>
      </c>
      <c r="E71" s="1" t="s">
        <v>37</v>
      </c>
      <c r="F71" s="1" t="n">
        <v>67.2</v>
      </c>
    </row>
    <row r="72" customFormat="false" ht="15.75" hidden="false" customHeight="true" outlineLevel="0" collapsed="false">
      <c r="A72" s="1" t="s">
        <v>44</v>
      </c>
      <c r="B72" s="1" t="n">
        <v>1986</v>
      </c>
      <c r="E72" s="1" t="s">
        <v>78</v>
      </c>
      <c r="F72" s="1" t="n">
        <v>64.4</v>
      </c>
    </row>
    <row r="73" customFormat="false" ht="15.75" hidden="false" customHeight="true" outlineLevel="0" collapsed="false">
      <c r="A73" s="1" t="s">
        <v>78</v>
      </c>
      <c r="B73" s="1" t="n">
        <v>1968</v>
      </c>
      <c r="E73" s="1" t="s">
        <v>42</v>
      </c>
      <c r="F73" s="1" t="n">
        <v>64.3</v>
      </c>
    </row>
    <row r="74" customFormat="false" ht="15.75" hidden="false" customHeight="true" outlineLevel="0" collapsed="false">
      <c r="A74" s="1" t="s">
        <v>29</v>
      </c>
      <c r="B74" s="1" t="n">
        <v>1962</v>
      </c>
      <c r="E74" s="1" t="s">
        <v>105</v>
      </c>
      <c r="F74" s="1" t="n">
        <v>63.8</v>
      </c>
    </row>
    <row r="75" customFormat="false" ht="15.75" hidden="false" customHeight="true" outlineLevel="0" collapsed="false">
      <c r="A75" s="1" t="s">
        <v>18</v>
      </c>
      <c r="B75" s="1" t="n">
        <v>1961</v>
      </c>
      <c r="E75" s="1" t="s">
        <v>77</v>
      </c>
      <c r="F75" s="1" t="n">
        <v>63.4</v>
      </c>
    </row>
    <row r="76" customFormat="false" ht="15.75" hidden="false" customHeight="true" outlineLevel="0" collapsed="false">
      <c r="A76" s="1" t="s">
        <v>66</v>
      </c>
      <c r="B76" s="1" t="n">
        <v>1918</v>
      </c>
      <c r="E76" s="1" t="s">
        <v>96</v>
      </c>
      <c r="F76" s="1" t="n">
        <v>63.3</v>
      </c>
    </row>
    <row r="77" customFormat="false" ht="15.75" hidden="false" customHeight="true" outlineLevel="0" collapsed="false">
      <c r="A77" s="1" t="s">
        <v>42</v>
      </c>
      <c r="B77" s="1" t="n">
        <v>1908</v>
      </c>
      <c r="E77" s="1" t="s">
        <v>102</v>
      </c>
      <c r="F77" s="1" t="n">
        <v>61.2</v>
      </c>
    </row>
    <row r="78" customFormat="false" ht="15.75" hidden="false" customHeight="true" outlineLevel="0" collapsed="false">
      <c r="A78" s="1" t="s">
        <v>111</v>
      </c>
      <c r="B78" s="1" t="n">
        <v>1908</v>
      </c>
      <c r="E78" s="1" t="s">
        <v>160</v>
      </c>
      <c r="F78" s="1" t="n">
        <v>60.8</v>
      </c>
    </row>
    <row r="79" customFormat="false" ht="15.75" hidden="false" customHeight="true" outlineLevel="0" collapsed="false">
      <c r="A79" s="1" t="s">
        <v>38</v>
      </c>
      <c r="B79" s="1" t="n">
        <v>1890</v>
      </c>
      <c r="E79" s="1" t="s">
        <v>109</v>
      </c>
      <c r="F79" s="1" t="n">
        <v>59.1</v>
      </c>
    </row>
    <row r="80" customFormat="false" ht="15.75" hidden="false" customHeight="true" outlineLevel="0" collapsed="false">
      <c r="A80" s="1" t="s">
        <v>19</v>
      </c>
      <c r="B80" s="1" t="n">
        <v>1851</v>
      </c>
      <c r="E80" s="1" t="s">
        <v>32</v>
      </c>
      <c r="F80" s="1" t="n">
        <v>58.6</v>
      </c>
    </row>
    <row r="81" customFormat="false" ht="15.75" hidden="false" customHeight="true" outlineLevel="0" collapsed="false">
      <c r="A81" s="1" t="s">
        <v>16</v>
      </c>
      <c r="B81" s="1" t="n">
        <v>1821</v>
      </c>
      <c r="E81" s="1" t="s">
        <v>31</v>
      </c>
      <c r="F81" s="1" t="n">
        <v>57.8</v>
      </c>
    </row>
    <row r="82" customFormat="false" ht="15.75" hidden="false" customHeight="true" outlineLevel="0" collapsed="false">
      <c r="A82" s="1" t="s">
        <v>96</v>
      </c>
      <c r="B82" s="1" t="n">
        <v>1771</v>
      </c>
      <c r="E82" s="1" t="s">
        <v>15</v>
      </c>
      <c r="F82" s="1" t="n">
        <v>57.5</v>
      </c>
    </row>
    <row r="83" customFormat="false" ht="15.75" hidden="false" customHeight="true" outlineLevel="0" collapsed="false">
      <c r="A83" s="1" t="s">
        <v>37</v>
      </c>
      <c r="B83" s="1" t="n">
        <v>1762</v>
      </c>
      <c r="E83" s="1" t="s">
        <v>68</v>
      </c>
      <c r="F83" s="1" t="n">
        <v>56.6</v>
      </c>
    </row>
    <row r="84" customFormat="false" ht="15.75" hidden="false" customHeight="true" outlineLevel="0" collapsed="false">
      <c r="A84" s="1" t="s">
        <v>32</v>
      </c>
      <c r="B84" s="1" t="n">
        <v>1737</v>
      </c>
      <c r="E84" s="1" t="s">
        <v>44</v>
      </c>
      <c r="F84" s="1" t="n">
        <v>55.3</v>
      </c>
    </row>
    <row r="85" customFormat="false" ht="15.75" hidden="false" customHeight="true" outlineLevel="0" collapsed="false">
      <c r="A85" s="1" t="s">
        <v>33</v>
      </c>
      <c r="B85" s="1" t="n">
        <v>1720</v>
      </c>
      <c r="E85" s="1" t="s">
        <v>66</v>
      </c>
      <c r="F85" s="1" t="n">
        <v>47.4</v>
      </c>
    </row>
    <row r="86" customFormat="false" ht="15.75" hidden="false" customHeight="true" outlineLevel="0" collapsed="false">
      <c r="A86" s="1" t="s">
        <v>87</v>
      </c>
      <c r="B86" s="1" t="n">
        <v>1659</v>
      </c>
      <c r="E86" s="1" t="s">
        <v>33</v>
      </c>
      <c r="F86" s="1" t="n">
        <v>45.8</v>
      </c>
    </row>
    <row r="87" customFormat="false" ht="15.75" hidden="false" customHeight="true" outlineLevel="0" collapsed="false">
      <c r="A87" s="1" t="s">
        <v>148</v>
      </c>
      <c r="B87" s="1" t="n">
        <v>1643</v>
      </c>
      <c r="E87" s="1" t="s">
        <v>80</v>
      </c>
      <c r="F87" s="1" t="n">
        <v>39.8</v>
      </c>
    </row>
    <row r="88" customFormat="false" ht="15.75" hidden="false" customHeight="true" outlineLevel="0" collapsed="false">
      <c r="A88" s="1" t="s">
        <v>107</v>
      </c>
      <c r="B88" s="1" t="n">
        <v>1410</v>
      </c>
      <c r="E88" s="1" t="s">
        <v>19</v>
      </c>
      <c r="F88" s="1" t="n">
        <v>36</v>
      </c>
    </row>
    <row r="89" customFormat="false" ht="15.75" hidden="false" customHeight="true" outlineLevel="0" collapsed="false">
      <c r="A89" s="1" t="s">
        <v>15</v>
      </c>
      <c r="B89" s="1" t="n">
        <v>1186</v>
      </c>
      <c r="E89" s="1" t="s">
        <v>27</v>
      </c>
      <c r="F89" s="1" t="n">
        <v>20.2</v>
      </c>
    </row>
    <row r="90" customFormat="false" ht="15.75" hidden="false" customHeight="true" outlineLevel="0" collapsed="false">
      <c r="A90" s="1" t="s">
        <v>97</v>
      </c>
      <c r="B90" s="1" t="n">
        <v>1139</v>
      </c>
    </row>
    <row r="91" customFormat="false" ht="15.75" hidden="false" customHeight="true" outlineLevel="0" collapsed="false">
      <c r="A91" s="1" t="s">
        <v>70</v>
      </c>
      <c r="B91" s="1" t="n">
        <v>1115</v>
      </c>
    </row>
    <row r="92" customFormat="false" ht="15.75" hidden="false" customHeight="true" outlineLevel="0" collapsed="false">
      <c r="A92" s="1" t="s">
        <v>105</v>
      </c>
      <c r="B92" s="1" t="n">
        <v>1023</v>
      </c>
    </row>
    <row r="93" customFormat="false" ht="15.75" hidden="false" customHeight="true" outlineLevel="0" collapsed="false">
      <c r="A93" s="1" t="s">
        <v>14</v>
      </c>
      <c r="B93" s="1" t="n">
        <v>1012</v>
      </c>
    </row>
    <row r="94" customFormat="false" ht="15.75" hidden="false" customHeight="true" outlineLevel="0" collapsed="false">
      <c r="A94" s="1" t="s">
        <v>102</v>
      </c>
      <c r="B94" s="1" t="n">
        <v>928</v>
      </c>
    </row>
    <row r="95" customFormat="false" ht="15.75" hidden="false" customHeight="true" outlineLevel="0" collapsed="false">
      <c r="A95" s="1" t="s">
        <v>68</v>
      </c>
      <c r="B95" s="1" t="n">
        <v>660</v>
      </c>
    </row>
    <row r="96" customFormat="false" ht="15.75" hidden="false" customHeight="true" outlineLevel="0" collapsed="false">
      <c r="A96" s="1" t="s">
        <v>86</v>
      </c>
      <c r="B96" s="1" t="n">
        <v>660</v>
      </c>
    </row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311</v>
      </c>
      <c r="B1" s="2" t="s">
        <v>312</v>
      </c>
      <c r="C1" s="2" t="s">
        <v>313</v>
      </c>
      <c r="D1" s="2" t="s">
        <v>314</v>
      </c>
      <c r="E1" s="3" t="s">
        <v>315</v>
      </c>
      <c r="G1" s="2" t="s">
        <v>311</v>
      </c>
      <c r="H1" s="2" t="s">
        <v>312</v>
      </c>
      <c r="I1" s="2" t="s">
        <v>313</v>
      </c>
      <c r="J1" s="2" t="s">
        <v>314</v>
      </c>
      <c r="K1" s="3" t="s">
        <v>316</v>
      </c>
    </row>
    <row r="2" customFormat="false" ht="15.75" hidden="false" customHeight="true" outlineLevel="0" collapsed="false">
      <c r="A2" s="1" t="s">
        <v>21</v>
      </c>
      <c r="B2" s="1" t="s">
        <v>317</v>
      </c>
      <c r="C2" s="1" t="n">
        <v>624</v>
      </c>
      <c r="D2" s="1" t="n">
        <f aca="false">IF(LEFT(B2,9)="Very high",100,IF(LEFT(B2,4)="High",80,IF(LEFT(B2,8)="Moderate",60,IF(LEFT(B2,3)="Low",40,IF(LEFT(B2,8)="Very low",20)))))</f>
        <v>100</v>
      </c>
      <c r="G2" s="1" t="s">
        <v>21</v>
      </c>
      <c r="H2" s="1" t="s">
        <v>317</v>
      </c>
      <c r="I2" s="1" t="n">
        <v>636</v>
      </c>
    </row>
    <row r="3" customFormat="false" ht="15.75" hidden="false" customHeight="true" outlineLevel="0" collapsed="false">
      <c r="A3" s="1" t="s">
        <v>52</v>
      </c>
      <c r="B3" s="1" t="s">
        <v>317</v>
      </c>
      <c r="C3" s="1" t="n">
        <v>617</v>
      </c>
      <c r="D3" s="1" t="n">
        <f aca="false">IF(LEFT(B3,9)="Very high",100,IF(LEFT(B3,4)="High",80,IF(LEFT(B3,8)="Moderate",60,IF(LEFT(B3,3)="Low",40,IF(LEFT(B3,8)="Very low",20)))))</f>
        <v>100</v>
      </c>
      <c r="G3" s="1" t="s">
        <v>16</v>
      </c>
      <c r="H3" s="1" t="s">
        <v>317</v>
      </c>
      <c r="I3" s="1" t="n">
        <v>610</v>
      </c>
    </row>
    <row r="4" customFormat="false" ht="15.75" hidden="false" customHeight="true" outlineLevel="0" collapsed="false">
      <c r="A4" s="1" t="s">
        <v>28</v>
      </c>
      <c r="B4" s="1" t="s">
        <v>317</v>
      </c>
      <c r="C4" s="1" t="n">
        <v>616</v>
      </c>
      <c r="D4" s="1" t="n">
        <f aca="false">IF(LEFT(B4,9)="Very high",100,IF(LEFT(B4,4)="High",80,IF(LEFT(B4,8)="Moderate",60,IF(LEFT(B4,3)="Low",40,IF(LEFT(B4,8)="Very low",20)))))</f>
        <v>100</v>
      </c>
      <c r="G4" s="1" t="s">
        <v>15</v>
      </c>
      <c r="H4" s="1" t="s">
        <v>317</v>
      </c>
      <c r="I4" s="1" t="n">
        <v>609</v>
      </c>
    </row>
    <row r="5" customFormat="false" ht="15.75" hidden="false" customHeight="true" outlineLevel="0" collapsed="false">
      <c r="A5" s="1" t="s">
        <v>25</v>
      </c>
      <c r="B5" s="1" t="s">
        <v>317</v>
      </c>
      <c r="C5" s="1" t="n">
        <v>615</v>
      </c>
      <c r="D5" s="1" t="n">
        <f aca="false">IF(LEFT(B5,9)="Very high",100,IF(LEFT(B5,4)="High",80,IF(LEFT(B5,8)="Moderate",60,IF(LEFT(B5,3)="Low",40,IF(LEFT(B5,8)="Very low",20)))))</f>
        <v>100</v>
      </c>
      <c r="G5" s="1" t="s">
        <v>29</v>
      </c>
      <c r="H5" s="1" t="s">
        <v>317</v>
      </c>
      <c r="I5" s="1" t="n">
        <v>608</v>
      </c>
    </row>
    <row r="6" customFormat="false" ht="15.75" hidden="false" customHeight="true" outlineLevel="0" collapsed="false">
      <c r="A6" s="1" t="s">
        <v>16</v>
      </c>
      <c r="B6" s="1" t="s">
        <v>317</v>
      </c>
      <c r="C6" s="1" t="n">
        <v>613</v>
      </c>
      <c r="D6" s="1" t="n">
        <f aca="false">IF(LEFT(B6,9)="Very high",100,IF(LEFT(B6,4)="High",80,IF(LEFT(B6,8)="Moderate",60,IF(LEFT(B6,3)="Low",40,IF(LEFT(B6,8)="Very low",20)))))</f>
        <v>100</v>
      </c>
      <c r="G6" s="1" t="s">
        <v>52</v>
      </c>
      <c r="H6" s="1" t="s">
        <v>317</v>
      </c>
      <c r="I6" s="1" t="n">
        <v>607</v>
      </c>
    </row>
    <row r="7" customFormat="false" ht="15.75" hidden="false" customHeight="true" outlineLevel="0" collapsed="false">
      <c r="A7" s="1" t="s">
        <v>54</v>
      </c>
      <c r="B7" s="1" t="s">
        <v>317</v>
      </c>
      <c r="C7" s="1" t="n">
        <v>612</v>
      </c>
      <c r="D7" s="1" t="n">
        <f aca="false">IF(LEFT(B7,9)="Very high",100,IF(LEFT(B7,4)="High",80,IF(LEFT(B7,8)="Moderate",60,IF(LEFT(B7,3)="Low",40,IF(LEFT(B7,8)="Very low",20)))))</f>
        <v>100</v>
      </c>
      <c r="G7" s="1" t="s">
        <v>54</v>
      </c>
      <c r="H7" s="1" t="s">
        <v>317</v>
      </c>
      <c r="I7" s="1" t="n">
        <v>605</v>
      </c>
    </row>
    <row r="8" customFormat="false" ht="15.75" hidden="false" customHeight="true" outlineLevel="0" collapsed="false">
      <c r="A8" s="1" t="s">
        <v>18</v>
      </c>
      <c r="B8" s="1" t="s">
        <v>317</v>
      </c>
      <c r="C8" s="1" t="n">
        <v>611</v>
      </c>
      <c r="D8" s="1" t="n">
        <f aca="false">IF(LEFT(B8,9)="Very high",100,IF(LEFT(B8,4)="High",80,IF(LEFT(B8,8)="Moderate",60,IF(LEFT(B8,3)="Low",40,IF(LEFT(B8,8)="Very low",20)))))</f>
        <v>100</v>
      </c>
      <c r="G8" s="1" t="s">
        <v>18</v>
      </c>
      <c r="H8" s="1" t="s">
        <v>317</v>
      </c>
      <c r="I8" s="1" t="n">
        <v>603</v>
      </c>
    </row>
    <row r="9" customFormat="false" ht="15.75" hidden="false" customHeight="true" outlineLevel="0" collapsed="false">
      <c r="A9" s="1" t="s">
        <v>29</v>
      </c>
      <c r="B9" s="1" t="s">
        <v>317</v>
      </c>
      <c r="C9" s="1" t="n">
        <v>609</v>
      </c>
      <c r="D9" s="1" t="n">
        <f aca="false">IF(LEFT(B9,9)="Very high",100,IF(LEFT(B9,4)="High",80,IF(LEFT(B9,8)="Moderate",60,IF(LEFT(B9,3)="Low",40,IF(LEFT(B9,8)="Very low",20)))))</f>
        <v>100</v>
      </c>
      <c r="G9" s="1" t="s">
        <v>59</v>
      </c>
      <c r="H9" s="1" t="s">
        <v>317</v>
      </c>
      <c r="I9" s="1" t="n">
        <v>602</v>
      </c>
    </row>
    <row r="10" customFormat="false" ht="15.75" hidden="false" customHeight="true" outlineLevel="0" collapsed="false">
      <c r="A10" s="1" t="s">
        <v>30</v>
      </c>
      <c r="B10" s="1" t="s">
        <v>317</v>
      </c>
      <c r="C10" s="1" t="n">
        <v>608</v>
      </c>
      <c r="D10" s="1" t="n">
        <f aca="false">IF(LEFT(B10,9)="Very high",100,IF(LEFT(B10,4)="High",80,IF(LEFT(B10,8)="Moderate",60,IF(LEFT(B10,3)="Low",40,IF(LEFT(B10,8)="Very low",20)))))</f>
        <v>100</v>
      </c>
      <c r="G10" s="1" t="s">
        <v>28</v>
      </c>
      <c r="H10" s="1" t="s">
        <v>317</v>
      </c>
      <c r="I10" s="1" t="n">
        <v>600</v>
      </c>
    </row>
    <row r="11" customFormat="false" ht="15.75" hidden="false" customHeight="true" outlineLevel="0" collapsed="false">
      <c r="A11" s="1" t="s">
        <v>56</v>
      </c>
      <c r="B11" s="1" t="s">
        <v>317</v>
      </c>
      <c r="C11" s="1" t="n">
        <v>606</v>
      </c>
      <c r="D11" s="1" t="n">
        <f aca="false">IF(LEFT(B11,9)="Very high",100,IF(LEFT(B11,4)="High",80,IF(LEFT(B11,8)="Moderate",60,IF(LEFT(B11,3)="Low",40,IF(LEFT(B11,8)="Very low",20)))))</f>
        <v>100</v>
      </c>
      <c r="G11" s="1" t="s">
        <v>25</v>
      </c>
      <c r="H11" s="1" t="s">
        <v>318</v>
      </c>
      <c r="I11" s="1" t="n">
        <v>598</v>
      </c>
    </row>
    <row r="12" customFormat="false" ht="15.75" hidden="false" customHeight="true" outlineLevel="0" collapsed="false">
      <c r="A12" s="1" t="s">
        <v>65</v>
      </c>
      <c r="B12" s="1" t="s">
        <v>317</v>
      </c>
      <c r="C12" s="1" t="n">
        <v>605</v>
      </c>
      <c r="D12" s="1" t="n">
        <f aca="false">IF(LEFT(B12,9)="Very high",100,IF(LEFT(B12,4)="High",80,IF(LEFT(B12,8)="Moderate",60,IF(LEFT(B12,3)="Low",40,IF(LEFT(B12,8)="Very low",20)))))</f>
        <v>100</v>
      </c>
      <c r="G12" s="1" t="s">
        <v>53</v>
      </c>
      <c r="H12" s="1" t="s">
        <v>318</v>
      </c>
      <c r="I12" s="1" t="n">
        <v>594</v>
      </c>
    </row>
    <row r="13" customFormat="false" ht="15.75" hidden="false" customHeight="true" outlineLevel="0" collapsed="false">
      <c r="A13" s="1" t="s">
        <v>32</v>
      </c>
      <c r="B13" s="1" t="s">
        <v>317</v>
      </c>
      <c r="C13" s="1" t="n">
        <v>603</v>
      </c>
      <c r="D13" s="1" t="n">
        <f aca="false">IF(LEFT(B13,9)="Very high",100,IF(LEFT(B13,4)="High",80,IF(LEFT(B13,8)="Moderate",60,IF(LEFT(B13,3)="Low",40,IF(LEFT(B13,8)="Very low",20)))))</f>
        <v>100</v>
      </c>
      <c r="G13" s="1" t="s">
        <v>65</v>
      </c>
      <c r="H13" s="1" t="s">
        <v>319</v>
      </c>
      <c r="I13" s="1" t="n">
        <v>593</v>
      </c>
    </row>
    <row r="14" customFormat="false" ht="15.75" hidden="false" customHeight="true" outlineLevel="0" collapsed="false">
      <c r="A14" s="1" t="s">
        <v>53</v>
      </c>
      <c r="B14" s="1" t="s">
        <v>317</v>
      </c>
      <c r="C14" s="1" t="n">
        <v>602</v>
      </c>
      <c r="D14" s="1" t="n">
        <f aca="false">IF(LEFT(B14,9)="Very high",100,IF(LEFT(B14,4)="High",80,IF(LEFT(B14,8)="Moderate",60,IF(LEFT(B14,3)="Low",40,IF(LEFT(B14,8)="Very low",20)))))</f>
        <v>100</v>
      </c>
      <c r="G14" s="1" t="s">
        <v>30</v>
      </c>
      <c r="H14" s="1" t="s">
        <v>318</v>
      </c>
      <c r="I14" s="1" t="n">
        <v>592</v>
      </c>
    </row>
    <row r="15" customFormat="false" ht="15.75" hidden="false" customHeight="true" outlineLevel="0" collapsed="false">
      <c r="A15" s="1" t="s">
        <v>99</v>
      </c>
      <c r="B15" s="1" t="s">
        <v>317</v>
      </c>
      <c r="C15" s="1" t="n">
        <v>602</v>
      </c>
      <c r="D15" s="1" t="n">
        <f aca="false">IF(LEFT(B15,9)="Very high",100,IF(LEFT(B15,4)="High",80,IF(LEFT(B15,8)="Moderate",60,IF(LEFT(B15,3)="Low",40,IF(LEFT(B15,8)="Very low",20)))))</f>
        <v>100</v>
      </c>
      <c r="G15" s="1" t="s">
        <v>32</v>
      </c>
      <c r="H15" s="1" t="s">
        <v>319</v>
      </c>
      <c r="I15" s="1" t="n">
        <v>590</v>
      </c>
    </row>
    <row r="16" customFormat="false" ht="15.75" hidden="false" customHeight="true" outlineLevel="0" collapsed="false">
      <c r="A16" s="1" t="s">
        <v>51</v>
      </c>
      <c r="B16" s="1" t="s">
        <v>317</v>
      </c>
      <c r="C16" s="1" t="n">
        <v>600</v>
      </c>
      <c r="D16" s="1" t="n">
        <f aca="false">IF(LEFT(B16,9)="Very high",100,IF(LEFT(B16,4)="High",80,IF(LEFT(B16,8)="Moderate",60,IF(LEFT(B16,3)="Low",40,IF(LEFT(B16,8)="Very low",20)))))</f>
        <v>100</v>
      </c>
      <c r="G16" s="1" t="s">
        <v>51</v>
      </c>
      <c r="H16" s="1" t="s">
        <v>319</v>
      </c>
      <c r="I16" s="1" t="n">
        <v>588</v>
      </c>
    </row>
    <row r="17" customFormat="false" ht="15.75" hidden="false" customHeight="true" outlineLevel="0" collapsed="false">
      <c r="A17" s="1" t="s">
        <v>57</v>
      </c>
      <c r="B17" s="1" t="s">
        <v>319</v>
      </c>
      <c r="C17" s="1" t="n">
        <v>598</v>
      </c>
      <c r="D17" s="1" t="n">
        <f aca="false">IF(LEFT(B17,9)="Very high",100,IF(LEFT(B17,4)="High",80,IF(LEFT(B17,8)="Moderate",60,IF(LEFT(B17,3)="Low",40,IF(LEFT(B17,8)="Very low",20)))))</f>
        <v>80</v>
      </c>
      <c r="G17" s="1" t="s">
        <v>58</v>
      </c>
      <c r="H17" s="1" t="s">
        <v>319</v>
      </c>
      <c r="I17" s="1" t="n">
        <v>586</v>
      </c>
    </row>
    <row r="18" customFormat="false" ht="15.75" hidden="false" customHeight="true" outlineLevel="0" collapsed="false">
      <c r="A18" s="1" t="s">
        <v>79</v>
      </c>
      <c r="B18" s="1" t="s">
        <v>319</v>
      </c>
      <c r="C18" s="1" t="n">
        <v>595</v>
      </c>
      <c r="D18" s="1" t="n">
        <f aca="false">IF(LEFT(B18,9)="Very high",100,IF(LEFT(B18,4)="High",80,IF(LEFT(B18,8)="Moderate",60,IF(LEFT(B18,3)="Low",40,IF(LEFT(B18,8)="Very low",20)))))</f>
        <v>80</v>
      </c>
      <c r="G18" s="1" t="s">
        <v>55</v>
      </c>
      <c r="H18" s="1" t="s">
        <v>319</v>
      </c>
      <c r="I18" s="1" t="n">
        <v>585</v>
      </c>
    </row>
    <row r="19" customFormat="false" ht="15.75" hidden="false" customHeight="true" outlineLevel="0" collapsed="false">
      <c r="A19" s="1" t="s">
        <v>58</v>
      </c>
      <c r="B19" s="1" t="s">
        <v>319</v>
      </c>
      <c r="C19" s="1" t="n">
        <v>594</v>
      </c>
      <c r="D19" s="1" t="n">
        <f aca="false">IF(LEFT(B19,9)="Very high",100,IF(LEFT(B19,4)="High",80,IF(LEFT(B19,8)="Moderate",60,IF(LEFT(B19,3)="Low",40,IF(LEFT(B19,8)="Very low",20)))))</f>
        <v>80</v>
      </c>
      <c r="G19" s="1" t="s">
        <v>56</v>
      </c>
      <c r="H19" s="1" t="s">
        <v>319</v>
      </c>
      <c r="I19" s="1" t="n">
        <v>584</v>
      </c>
    </row>
    <row r="20" customFormat="false" ht="15.75" hidden="false" customHeight="true" outlineLevel="0" collapsed="false">
      <c r="A20" s="1" t="s">
        <v>100</v>
      </c>
      <c r="B20" s="1" t="s">
        <v>319</v>
      </c>
      <c r="C20" s="1" t="n">
        <v>593</v>
      </c>
      <c r="D20" s="1" t="n">
        <f aca="false">IF(LEFT(B20,9)="Very high",100,IF(LEFT(B20,4)="High",80,IF(LEFT(B20,8)="Moderate",60,IF(LEFT(B20,3)="Low",40,IF(LEFT(B20,8)="Very low",20)))))</f>
        <v>80</v>
      </c>
      <c r="G20" s="1" t="s">
        <v>100</v>
      </c>
      <c r="H20" s="1" t="s">
        <v>319</v>
      </c>
      <c r="I20" s="1" t="n">
        <v>581</v>
      </c>
    </row>
    <row r="21" customFormat="false" ht="15.75" hidden="false" customHeight="true" outlineLevel="0" collapsed="false">
      <c r="A21" s="1" t="s">
        <v>59</v>
      </c>
      <c r="B21" s="1" t="s">
        <v>319</v>
      </c>
      <c r="C21" s="1" t="n">
        <v>592</v>
      </c>
      <c r="D21" s="1" t="n">
        <f aca="false">IF(LEFT(B21,9)="Very high",100,IF(LEFT(B21,4)="High",80,IF(LEFT(B21,8)="Moderate",60,IF(LEFT(B21,3)="Low",40,IF(LEFT(B21,8)="Very low",20)))))</f>
        <v>80</v>
      </c>
      <c r="G21" s="1" t="s">
        <v>42</v>
      </c>
      <c r="H21" s="1" t="s">
        <v>319</v>
      </c>
      <c r="I21" s="1" t="n">
        <v>578</v>
      </c>
    </row>
    <row r="22" customFormat="false" ht="15.75" hidden="false" customHeight="true" outlineLevel="0" collapsed="false">
      <c r="A22" s="1" t="s">
        <v>69</v>
      </c>
      <c r="B22" s="1" t="s">
        <v>319</v>
      </c>
      <c r="C22" s="1" t="n">
        <v>591</v>
      </c>
      <c r="D22" s="1" t="n">
        <f aca="false">IF(LEFT(B22,9)="Very high",100,IF(LEFT(B22,4)="High",80,IF(LEFT(B22,8)="Moderate",60,IF(LEFT(B22,3)="Low",40,IF(LEFT(B22,8)="Very low",20)))))</f>
        <v>80</v>
      </c>
      <c r="G22" s="1" t="s">
        <v>13</v>
      </c>
      <c r="H22" s="1" t="s">
        <v>319</v>
      </c>
      <c r="I22" s="1" t="n">
        <v>576</v>
      </c>
    </row>
    <row r="23" customFormat="false" ht="15.75" hidden="false" customHeight="true" outlineLevel="0" collapsed="false">
      <c r="A23" s="1" t="s">
        <v>55</v>
      </c>
      <c r="B23" s="1" t="s">
        <v>319</v>
      </c>
      <c r="C23" s="1" t="n">
        <v>590</v>
      </c>
      <c r="D23" s="1" t="n">
        <f aca="false">IF(LEFT(B23,9)="Very high",100,IF(LEFT(B23,4)="High",80,IF(LEFT(B23,8)="Moderate",60,IF(LEFT(B23,3)="Low",40,IF(LEFT(B23,8)="Very low",20)))))</f>
        <v>80</v>
      </c>
      <c r="G23" s="1" t="s">
        <v>102</v>
      </c>
      <c r="H23" s="1" t="s">
        <v>319</v>
      </c>
      <c r="I23" s="1" t="n">
        <v>570</v>
      </c>
    </row>
    <row r="24" customFormat="false" ht="15.75" hidden="false" customHeight="true" outlineLevel="0" collapsed="false">
      <c r="A24" s="1" t="s">
        <v>47</v>
      </c>
      <c r="B24" s="1" t="s">
        <v>319</v>
      </c>
      <c r="C24" s="1" t="n">
        <v>582</v>
      </c>
      <c r="D24" s="1" t="n">
        <f aca="false">IF(LEFT(B24,9)="Very high",100,IF(LEFT(B24,4)="High",80,IF(LEFT(B24,8)="Moderate",60,IF(LEFT(B24,3)="Low",40,IF(LEFT(B24,8)="Very low",20)))))</f>
        <v>80</v>
      </c>
      <c r="G24" s="1" t="s">
        <v>50</v>
      </c>
      <c r="H24" s="1" t="s">
        <v>319</v>
      </c>
      <c r="I24" s="1" t="n">
        <v>569</v>
      </c>
    </row>
    <row r="25" customFormat="false" ht="15.75" hidden="false" customHeight="true" outlineLevel="0" collapsed="false">
      <c r="A25" s="1" t="s">
        <v>68</v>
      </c>
      <c r="B25" s="1" t="s">
        <v>319</v>
      </c>
      <c r="C25" s="1" t="n">
        <v>581</v>
      </c>
      <c r="D25" s="1" t="n">
        <f aca="false">IF(LEFT(B25,9)="Very high",100,IF(LEFT(B25,4)="High",80,IF(LEFT(B25,8)="Moderate",60,IF(LEFT(B25,3)="Low",40,IF(LEFT(B25,8)="Very low",20)))))</f>
        <v>80</v>
      </c>
      <c r="G25" s="1" t="s">
        <v>67</v>
      </c>
      <c r="H25" s="1" t="s">
        <v>319</v>
      </c>
      <c r="I25" s="1" t="n">
        <v>568</v>
      </c>
    </row>
    <row r="26" customFormat="false" ht="15.75" hidden="false" customHeight="true" outlineLevel="0" collapsed="false">
      <c r="A26" s="1" t="s">
        <v>67</v>
      </c>
      <c r="B26" s="1" t="s">
        <v>319</v>
      </c>
      <c r="C26" s="1" t="n">
        <v>578</v>
      </c>
      <c r="D26" s="1" t="n">
        <f aca="false">IF(LEFT(B26,9)="Very high",100,IF(LEFT(B26,4)="High",80,IF(LEFT(B26,8)="Moderate",60,IF(LEFT(B26,3)="Low",40,IF(LEFT(B26,8)="Very low",20)))))</f>
        <v>80</v>
      </c>
      <c r="G26" s="1" t="s">
        <v>47</v>
      </c>
      <c r="H26" s="1" t="s">
        <v>319</v>
      </c>
      <c r="I26" s="1" t="n">
        <v>567</v>
      </c>
    </row>
    <row r="27" customFormat="false" ht="15.75" hidden="false" customHeight="true" outlineLevel="0" collapsed="false">
      <c r="A27" s="1" t="s">
        <v>71</v>
      </c>
      <c r="B27" s="1" t="s">
        <v>319</v>
      </c>
      <c r="C27" s="1" t="n">
        <v>575</v>
      </c>
      <c r="D27" s="1" t="n">
        <f aca="false">IF(LEFT(B27,9)="Very high",100,IF(LEFT(B27,4)="High",80,IF(LEFT(B27,8)="Moderate",60,IF(LEFT(B27,3)="Low",40,IF(LEFT(B27,8)="Very low",20)))))</f>
        <v>80</v>
      </c>
      <c r="G27" s="1" t="s">
        <v>68</v>
      </c>
      <c r="H27" s="1" t="s">
        <v>319</v>
      </c>
      <c r="I27" s="1" t="n">
        <v>566</v>
      </c>
    </row>
    <row r="28" customFormat="false" ht="15.75" hidden="false" customHeight="true" outlineLevel="0" collapsed="false">
      <c r="A28" s="1" t="s">
        <v>144</v>
      </c>
      <c r="B28" s="1" t="s">
        <v>319</v>
      </c>
      <c r="C28" s="1" t="n">
        <v>573</v>
      </c>
      <c r="D28" s="1" t="n">
        <f aca="false">IF(LEFT(B28,9)="Very high",100,IF(LEFT(B28,4)="High",80,IF(LEFT(B28,8)="Moderate",60,IF(LEFT(B28,3)="Low",40,IF(LEFT(B28,8)="Very low",20)))))</f>
        <v>80</v>
      </c>
      <c r="G28" s="1" t="s">
        <v>140</v>
      </c>
      <c r="H28" s="1" t="s">
        <v>319</v>
      </c>
      <c r="I28" s="1" t="n">
        <v>563</v>
      </c>
    </row>
    <row r="29" customFormat="false" ht="15.75" hidden="false" customHeight="true" outlineLevel="0" collapsed="false">
      <c r="A29" s="1" t="s">
        <v>102</v>
      </c>
      <c r="B29" s="1" t="s">
        <v>319</v>
      </c>
      <c r="C29" s="1" t="n">
        <v>569</v>
      </c>
      <c r="D29" s="1" t="n">
        <f aca="false">IF(LEFT(B29,9)="Very high",100,IF(LEFT(B29,4)="High",80,IF(LEFT(B29,8)="Moderate",60,IF(LEFT(B29,3)="Low",40,IF(LEFT(B29,8)="Very low",20)))))</f>
        <v>80</v>
      </c>
      <c r="G29" s="1" t="s">
        <v>71</v>
      </c>
      <c r="H29" s="1" t="s">
        <v>319</v>
      </c>
      <c r="I29" s="1" t="n">
        <v>562</v>
      </c>
    </row>
    <row r="30" customFormat="false" ht="15.75" hidden="false" customHeight="true" outlineLevel="0" collapsed="false">
      <c r="A30" s="1" t="s">
        <v>160</v>
      </c>
      <c r="B30" s="1" t="s">
        <v>319</v>
      </c>
      <c r="C30" s="1" t="n">
        <v>568</v>
      </c>
      <c r="D30" s="1" t="n">
        <f aca="false">IF(LEFT(B30,9)="Very high",100,IF(LEFT(B30,4)="High",80,IF(LEFT(B30,8)="Moderate",60,IF(LEFT(B30,3)="Low",40,IF(LEFT(B30,8)="Very low",20)))))</f>
        <v>80</v>
      </c>
      <c r="G30" s="1" t="s">
        <v>45</v>
      </c>
      <c r="H30" s="1" t="s">
        <v>319</v>
      </c>
      <c r="I30" s="1" t="n">
        <v>558</v>
      </c>
    </row>
    <row r="31" customFormat="false" ht="15.75" hidden="false" customHeight="true" outlineLevel="0" collapsed="false">
      <c r="A31" s="1" t="s">
        <v>12</v>
      </c>
      <c r="B31" s="1" t="s">
        <v>319</v>
      </c>
      <c r="C31" s="1" t="n">
        <v>564</v>
      </c>
      <c r="D31" s="1" t="n">
        <f aca="false">IF(LEFT(B31,9)="Very high",100,IF(LEFT(B31,4)="High",80,IF(LEFT(B31,8)="Moderate",60,IF(LEFT(B31,3)="Low",40,IF(LEFT(B31,8)="Very low",20)))))</f>
        <v>80</v>
      </c>
      <c r="G31" s="1" t="s">
        <v>160</v>
      </c>
      <c r="H31" s="1" t="s">
        <v>319</v>
      </c>
      <c r="I31" s="1" t="n">
        <v>557</v>
      </c>
    </row>
    <row r="32" customFormat="false" ht="15.75" hidden="false" customHeight="true" outlineLevel="0" collapsed="false">
      <c r="A32" s="1" t="s">
        <v>42</v>
      </c>
      <c r="B32" s="1" t="s">
        <v>319</v>
      </c>
      <c r="C32" s="1" t="n">
        <v>561</v>
      </c>
      <c r="D32" s="1" t="n">
        <f aca="false">IF(LEFT(B32,9)="Very high",100,IF(LEFT(B32,4)="High",80,IF(LEFT(B32,8)="Moderate",60,IF(LEFT(B32,3)="Low",40,IF(LEFT(B32,8)="Very low",20)))))</f>
        <v>80</v>
      </c>
      <c r="G32" s="1" t="s">
        <v>12</v>
      </c>
      <c r="H32" s="1" t="s">
        <v>319</v>
      </c>
      <c r="I32" s="1" t="n">
        <v>550</v>
      </c>
    </row>
    <row r="33" customFormat="false" ht="15.75" hidden="false" customHeight="true" outlineLevel="0" collapsed="false">
      <c r="A33" s="1" t="s">
        <v>150</v>
      </c>
      <c r="B33" s="1" t="s">
        <v>319</v>
      </c>
      <c r="C33" s="1" t="n">
        <v>553</v>
      </c>
      <c r="D33" s="1" t="n">
        <f aca="false">IF(LEFT(B33,9)="Very high",100,IF(LEFT(B33,4)="High",80,IF(LEFT(B33,8)="Moderate",60,IF(LEFT(B33,3)="Low",40,IF(LEFT(B33,8)="Very low",20)))))</f>
        <v>80</v>
      </c>
      <c r="G33" s="1" t="s">
        <v>26</v>
      </c>
      <c r="H33" s="1" t="s">
        <v>320</v>
      </c>
      <c r="I33" s="1" t="n">
        <v>549</v>
      </c>
    </row>
    <row r="34" customFormat="false" ht="15.75" hidden="false" customHeight="true" outlineLevel="0" collapsed="false">
      <c r="A34" s="1" t="s">
        <v>50</v>
      </c>
      <c r="B34" s="1" t="s">
        <v>320</v>
      </c>
      <c r="C34" s="1" t="n">
        <v>543</v>
      </c>
      <c r="D34" s="1" t="n">
        <f aca="false">IF(LEFT(B34,9)="Very high",100,IF(LEFT(B34,4)="High",80,IF(LEFT(B34,8)="Moderate",60,IF(LEFT(B34,3)="Low",40,IF(LEFT(B34,8)="Very low",20)))))</f>
        <v>60</v>
      </c>
      <c r="G34" s="1" t="s">
        <v>150</v>
      </c>
      <c r="H34" s="1" t="s">
        <v>320</v>
      </c>
      <c r="I34" s="1" t="n">
        <v>545</v>
      </c>
    </row>
    <row r="35" customFormat="false" ht="15.75" hidden="false" customHeight="true" outlineLevel="0" collapsed="false">
      <c r="A35" s="1" t="s">
        <v>60</v>
      </c>
      <c r="B35" s="1" t="s">
        <v>320</v>
      </c>
      <c r="C35" s="1" t="n">
        <v>542</v>
      </c>
      <c r="D35" s="1" t="n">
        <f aca="false">IF(LEFT(B35,9)="Very high",100,IF(LEFT(B35,4)="High",80,IF(LEFT(B35,8)="Moderate",60,IF(LEFT(B35,3)="Low",40,IF(LEFT(B35,8)="Very low",20)))))</f>
        <v>60</v>
      </c>
      <c r="G35" s="1" t="s">
        <v>84</v>
      </c>
      <c r="H35" s="1" t="s">
        <v>320</v>
      </c>
      <c r="I35" s="1" t="n">
        <v>543</v>
      </c>
    </row>
    <row r="36" customFormat="false" ht="15.75" hidden="false" customHeight="true" outlineLevel="0" collapsed="false">
      <c r="A36" s="1" t="s">
        <v>84</v>
      </c>
      <c r="B36" s="1" t="s">
        <v>320</v>
      </c>
      <c r="C36" s="1" t="n">
        <v>541</v>
      </c>
      <c r="D36" s="1" t="n">
        <f aca="false">IF(LEFT(B36,9)="Very high",100,IF(LEFT(B36,4)="High",80,IF(LEFT(B36,8)="Moderate",60,IF(LEFT(B36,3)="Low",40,IF(LEFT(B36,8)="Very low",20)))))</f>
        <v>60</v>
      </c>
      <c r="G36" s="1" t="s">
        <v>78</v>
      </c>
      <c r="H36" s="1" t="s">
        <v>320</v>
      </c>
      <c r="I36" s="1" t="n">
        <v>539</v>
      </c>
    </row>
    <row r="37" customFormat="false" ht="15.75" hidden="false" customHeight="true" outlineLevel="0" collapsed="false">
      <c r="A37" s="1" t="s">
        <v>41</v>
      </c>
      <c r="B37" s="1" t="s">
        <v>320</v>
      </c>
      <c r="C37" s="1" t="n">
        <v>540</v>
      </c>
      <c r="D37" s="1" t="n">
        <f aca="false">IF(LEFT(B37,9)="Very high",100,IF(LEFT(B37,4)="High",80,IF(LEFT(B37,8)="Moderate",60,IF(LEFT(B37,3)="Low",40,IF(LEFT(B37,8)="Very low",20)))))</f>
        <v>60</v>
      </c>
      <c r="G37" s="1" t="s">
        <v>41</v>
      </c>
      <c r="H37" s="1" t="s">
        <v>320</v>
      </c>
      <c r="I37" s="1" t="n">
        <v>538</v>
      </c>
    </row>
    <row r="38" customFormat="false" ht="15.75" hidden="false" customHeight="true" outlineLevel="0" collapsed="false">
      <c r="A38" s="1" t="s">
        <v>148</v>
      </c>
      <c r="B38" s="1" t="s">
        <v>320</v>
      </c>
      <c r="C38" s="1" t="n">
        <v>540</v>
      </c>
      <c r="D38" s="1" t="n">
        <f aca="false">IF(LEFT(B38,9)="Very high",100,IF(LEFT(B38,4)="High",80,IF(LEFT(B38,8)="Moderate",60,IF(LEFT(B38,3)="Low",40,IF(LEFT(B38,8)="Very low",20)))))</f>
        <v>60</v>
      </c>
      <c r="G38" s="1" t="s">
        <v>60</v>
      </c>
      <c r="H38" s="1" t="s">
        <v>320</v>
      </c>
      <c r="I38" s="1" t="n">
        <v>538</v>
      </c>
    </row>
    <row r="39" customFormat="false" ht="15.75" hidden="false" customHeight="true" outlineLevel="0" collapsed="false">
      <c r="A39" s="1" t="s">
        <v>34</v>
      </c>
      <c r="B39" s="1" t="s">
        <v>320</v>
      </c>
      <c r="C39" s="1" t="n">
        <v>539</v>
      </c>
      <c r="D39" s="1" t="n">
        <f aca="false">IF(LEFT(B39,9)="Very high",100,IF(LEFT(B39,4)="High",80,IF(LEFT(B39,8)="Moderate",60,IF(LEFT(B39,3)="Low",40,IF(LEFT(B39,8)="Very low",20)))))</f>
        <v>60</v>
      </c>
      <c r="G39" s="1" t="s">
        <v>77</v>
      </c>
      <c r="H39" s="1" t="s">
        <v>320</v>
      </c>
      <c r="I39" s="1" t="n">
        <v>537</v>
      </c>
    </row>
    <row r="40" customFormat="false" ht="15.75" hidden="false" customHeight="true" outlineLevel="0" collapsed="false">
      <c r="A40" s="1" t="s">
        <v>26</v>
      </c>
      <c r="B40" s="1" t="s">
        <v>320</v>
      </c>
      <c r="C40" s="1" t="n">
        <v>538</v>
      </c>
      <c r="D40" s="1" t="n">
        <f aca="false">IF(LEFT(B40,9)="Very high",100,IF(LEFT(B40,4)="High",80,IF(LEFT(B40,8)="Moderate",60,IF(LEFT(B40,3)="Low",40,IF(LEFT(B40,8)="Very low",20)))))</f>
        <v>60</v>
      </c>
      <c r="G40" s="1" t="s">
        <v>74</v>
      </c>
      <c r="H40" s="1" t="s">
        <v>320</v>
      </c>
      <c r="I40" s="1" t="n">
        <v>536</v>
      </c>
    </row>
    <row r="41" customFormat="false" ht="15.75" hidden="false" customHeight="true" outlineLevel="0" collapsed="false">
      <c r="A41" s="1" t="s">
        <v>45</v>
      </c>
      <c r="B41" s="1" t="s">
        <v>320</v>
      </c>
      <c r="C41" s="1" t="n">
        <v>537</v>
      </c>
      <c r="D41" s="1" t="n">
        <f aca="false">IF(LEFT(B41,9)="Very high",100,IF(LEFT(B41,4)="High",80,IF(LEFT(B41,8)="Moderate",60,IF(LEFT(B41,3)="Low",40,IF(LEFT(B41,8)="Very low",20)))))</f>
        <v>60</v>
      </c>
      <c r="G41" s="1" t="s">
        <v>90</v>
      </c>
      <c r="H41" s="1" t="s">
        <v>320</v>
      </c>
      <c r="I41" s="1" t="n">
        <v>535</v>
      </c>
    </row>
    <row r="42" customFormat="false" ht="15.75" hidden="false" customHeight="true" outlineLevel="0" collapsed="false">
      <c r="A42" s="1" t="s">
        <v>78</v>
      </c>
      <c r="B42" s="1" t="s">
        <v>320</v>
      </c>
      <c r="C42" s="1" t="n">
        <v>533</v>
      </c>
      <c r="D42" s="1" t="n">
        <f aca="false">IF(LEFT(B42,9)="Very high",100,IF(LEFT(B42,4)="High",80,IF(LEFT(B42,8)="Moderate",60,IF(LEFT(B42,3)="Low",40,IF(LEFT(B42,8)="Very low",20)))))</f>
        <v>60</v>
      </c>
      <c r="G42" s="1" t="s">
        <v>63</v>
      </c>
      <c r="H42" s="1" t="s">
        <v>320</v>
      </c>
      <c r="I42" s="1" t="n">
        <v>534</v>
      </c>
    </row>
    <row r="43" customFormat="false" ht="15.75" hidden="false" customHeight="true" outlineLevel="0" collapsed="false">
      <c r="A43" s="1" t="s">
        <v>76</v>
      </c>
      <c r="B43" s="1" t="s">
        <v>320</v>
      </c>
      <c r="C43" s="1" t="n">
        <v>532</v>
      </c>
      <c r="D43" s="1" t="n">
        <f aca="false">IF(LEFT(B43,9)="Very high",100,IF(LEFT(B43,4)="High",80,IF(LEFT(B43,8)="Moderate",60,IF(LEFT(B43,3)="Low",40,IF(LEFT(B43,8)="Very low",20)))))</f>
        <v>60</v>
      </c>
      <c r="G43" s="1" t="s">
        <v>148</v>
      </c>
      <c r="H43" s="1" t="s">
        <v>320</v>
      </c>
      <c r="I43" s="1" t="n">
        <v>534</v>
      </c>
    </row>
    <row r="44" customFormat="false" ht="15.75" hidden="false" customHeight="true" outlineLevel="0" collapsed="false">
      <c r="A44" s="1" t="s">
        <v>154</v>
      </c>
      <c r="B44" s="1" t="s">
        <v>320</v>
      </c>
      <c r="C44" s="1" t="n">
        <v>531</v>
      </c>
      <c r="D44" s="1" t="n">
        <f aca="false">IF(LEFT(B44,9)="Very high",100,IF(LEFT(B44,4)="High",80,IF(LEFT(B44,8)="Moderate",60,IF(LEFT(B44,3)="Low",40,IF(LEFT(B44,8)="Very low",20)))))</f>
        <v>60</v>
      </c>
      <c r="G44" s="1" t="s">
        <v>76</v>
      </c>
      <c r="H44" s="1" t="s">
        <v>320</v>
      </c>
      <c r="I44" s="1" t="n">
        <v>533</v>
      </c>
    </row>
    <row r="45" customFormat="false" ht="15.75" hidden="false" customHeight="true" outlineLevel="0" collapsed="false">
      <c r="A45" s="1" t="s">
        <v>74</v>
      </c>
      <c r="B45" s="1" t="s">
        <v>320</v>
      </c>
      <c r="C45" s="1" t="n">
        <v>531</v>
      </c>
      <c r="D45" s="1" t="n">
        <f aca="false">IF(LEFT(B45,9)="Very high",100,IF(LEFT(B45,4)="High",80,IF(LEFT(B45,8)="Moderate",60,IF(LEFT(B45,3)="Low",40,IF(LEFT(B45,8)="Very low",20)))))</f>
        <v>60</v>
      </c>
      <c r="G45" s="1" t="s">
        <v>66</v>
      </c>
      <c r="H45" s="1" t="s">
        <v>320</v>
      </c>
      <c r="I45" s="1" t="n">
        <v>532</v>
      </c>
    </row>
    <row r="46" customFormat="false" ht="15.75" hidden="false" customHeight="true" outlineLevel="0" collapsed="false">
      <c r="A46" s="1" t="s">
        <v>90</v>
      </c>
      <c r="B46" s="1" t="s">
        <v>320</v>
      </c>
      <c r="C46" s="1" t="n">
        <v>526</v>
      </c>
      <c r="D46" s="1" t="n">
        <f aca="false">IF(LEFT(B46,9)="Very high",100,IF(LEFT(B46,4)="High",80,IF(LEFT(B46,8)="Moderate",60,IF(LEFT(B46,3)="Low",40,IF(LEFT(B46,8)="Very low",20)))))</f>
        <v>60</v>
      </c>
      <c r="G46" s="1" t="s">
        <v>154</v>
      </c>
      <c r="H46" s="1" t="s">
        <v>320</v>
      </c>
      <c r="I46" s="1" t="n">
        <v>531</v>
      </c>
    </row>
    <row r="47" customFormat="false" ht="15.75" hidden="false" customHeight="true" outlineLevel="0" collapsed="false">
      <c r="A47" s="1" t="s">
        <v>22</v>
      </c>
      <c r="B47" s="1" t="s">
        <v>320</v>
      </c>
      <c r="C47" s="1" t="n">
        <v>524</v>
      </c>
      <c r="D47" s="1" t="n">
        <f aca="false">IF(LEFT(B47,9)="Very high",100,IF(LEFT(B47,4)="High",80,IF(LEFT(B47,8)="Moderate",60,IF(LEFT(B47,3)="Low",40,IF(LEFT(B47,8)="Very low",20)))))</f>
        <v>60</v>
      </c>
      <c r="G47" s="1" t="s">
        <v>43</v>
      </c>
      <c r="H47" s="1" t="s">
        <v>320</v>
      </c>
      <c r="I47" s="1" t="n">
        <v>528</v>
      </c>
    </row>
    <row r="48" customFormat="false" ht="15.75" hidden="false" customHeight="true" outlineLevel="0" collapsed="false">
      <c r="A48" s="1" t="s">
        <v>138</v>
      </c>
      <c r="B48" s="1" t="s">
        <v>320</v>
      </c>
      <c r="C48" s="1" t="n">
        <v>523</v>
      </c>
      <c r="D48" s="1" t="n">
        <f aca="false">IF(LEFT(B48,9)="Very high",100,IF(LEFT(B48,4)="High",80,IF(LEFT(B48,8)="Moderate",60,IF(LEFT(B48,3)="Low",40,IF(LEFT(B48,8)="Very low",20)))))</f>
        <v>60</v>
      </c>
      <c r="G48" s="1" t="s">
        <v>104</v>
      </c>
      <c r="H48" s="1" t="s">
        <v>320</v>
      </c>
      <c r="I48" s="1" t="n">
        <v>525</v>
      </c>
    </row>
    <row r="49" customFormat="false" ht="15.75" hidden="false" customHeight="true" outlineLevel="0" collapsed="false">
      <c r="A49" s="1" t="s">
        <v>38</v>
      </c>
      <c r="B49" s="1" t="s">
        <v>320</v>
      </c>
      <c r="C49" s="1" t="n">
        <v>522</v>
      </c>
      <c r="D49" s="1" t="n">
        <f aca="false">IF(LEFT(B49,9)="Very high",100,IF(LEFT(B49,4)="High",80,IF(LEFT(B49,8)="Moderate",60,IF(LEFT(B49,3)="Low",40,IF(LEFT(B49,8)="Very low",20)))))</f>
        <v>60</v>
      </c>
      <c r="G49" s="1" t="s">
        <v>81</v>
      </c>
      <c r="H49" s="1" t="s">
        <v>320</v>
      </c>
      <c r="I49" s="1" t="n">
        <v>525</v>
      </c>
    </row>
    <row r="50" customFormat="false" ht="15.75" hidden="false" customHeight="true" outlineLevel="0" collapsed="false">
      <c r="A50" s="1" t="s">
        <v>104</v>
      </c>
      <c r="B50" s="1" t="s">
        <v>320</v>
      </c>
      <c r="C50" s="1" t="n">
        <v>521</v>
      </c>
      <c r="D50" s="1" t="n">
        <f aca="false">IF(LEFT(B50,9)="Very high",100,IF(LEFT(B50,4)="High",80,IF(LEFT(B50,8)="Moderate",60,IF(LEFT(B50,3)="Low",40,IF(LEFT(B50,8)="Very low",20)))))</f>
        <v>60</v>
      </c>
      <c r="G50" s="1" t="s">
        <v>34</v>
      </c>
      <c r="H50" s="1" t="s">
        <v>320</v>
      </c>
      <c r="I50" s="1" t="n">
        <v>524</v>
      </c>
    </row>
    <row r="51" customFormat="false" ht="15.75" hidden="false" customHeight="true" outlineLevel="0" collapsed="false">
      <c r="A51" s="1" t="s">
        <v>66</v>
      </c>
      <c r="B51" s="1" t="s">
        <v>320</v>
      </c>
      <c r="C51" s="1" t="n">
        <v>521</v>
      </c>
      <c r="D51" s="1" t="n">
        <f aca="false">IF(LEFT(B51,9)="Very high",100,IF(LEFT(B51,4)="High",80,IF(LEFT(B51,8)="Moderate",60,IF(LEFT(B51,3)="Low",40,IF(LEFT(B51,8)="Very low",20)))))</f>
        <v>60</v>
      </c>
      <c r="G51" s="1" t="s">
        <v>38</v>
      </c>
      <c r="H51" s="1" t="s">
        <v>320</v>
      </c>
      <c r="I51" s="1" t="n">
        <v>523</v>
      </c>
    </row>
    <row r="52" customFormat="false" ht="15.75" hidden="false" customHeight="true" outlineLevel="0" collapsed="false">
      <c r="A52" s="1" t="s">
        <v>108</v>
      </c>
      <c r="B52" s="1" t="s">
        <v>320</v>
      </c>
      <c r="C52" s="1" t="n">
        <v>520</v>
      </c>
      <c r="D52" s="1" t="n">
        <f aca="false">IF(LEFT(B52,9)="Very high",100,IF(LEFT(B52,4)="High",80,IF(LEFT(B52,8)="Moderate",60,IF(LEFT(B52,3)="Low",40,IF(LEFT(B52,8)="Very low",20)))))</f>
        <v>60</v>
      </c>
      <c r="G52" s="1" t="s">
        <v>22</v>
      </c>
      <c r="H52" s="1" t="s">
        <v>320</v>
      </c>
      <c r="I52" s="1" t="n">
        <v>522</v>
      </c>
    </row>
    <row r="53" customFormat="false" ht="15.75" hidden="false" customHeight="true" outlineLevel="0" collapsed="false">
      <c r="A53" s="1" t="s">
        <v>85</v>
      </c>
      <c r="B53" s="1" t="s">
        <v>320</v>
      </c>
      <c r="C53" s="1" t="n">
        <v>519</v>
      </c>
      <c r="D53" s="1" t="n">
        <f aca="false">IF(LEFT(B53,9)="Very high",100,IF(LEFT(B53,4)="High",80,IF(LEFT(B53,8)="Moderate",60,IF(LEFT(B53,3)="Low",40,IF(LEFT(B53,8)="Very low",20)))))</f>
        <v>60</v>
      </c>
      <c r="G53" s="1" t="s">
        <v>113</v>
      </c>
      <c r="H53" s="1" t="s">
        <v>320</v>
      </c>
      <c r="I53" s="1" t="n">
        <v>520</v>
      </c>
    </row>
    <row r="54" customFormat="false" ht="15.75" hidden="false" customHeight="true" outlineLevel="0" collapsed="false">
      <c r="A54" s="1" t="s">
        <v>157</v>
      </c>
      <c r="B54" s="1" t="s">
        <v>320</v>
      </c>
      <c r="C54" s="1" t="n">
        <v>518</v>
      </c>
      <c r="D54" s="1" t="n">
        <f aca="false">IF(LEFT(B54,9)="Very high",100,IF(LEFT(B54,4)="High",80,IF(LEFT(B54,8)="Moderate",60,IF(LEFT(B54,3)="Low",40,IF(LEFT(B54,8)="Very low",20)))))</f>
        <v>60</v>
      </c>
      <c r="G54" s="1" t="s">
        <v>85</v>
      </c>
      <c r="H54" s="1" t="s">
        <v>320</v>
      </c>
      <c r="I54" s="1" t="n">
        <v>519</v>
      </c>
    </row>
    <row r="55" customFormat="false" ht="15.75" hidden="false" customHeight="true" outlineLevel="0" collapsed="false">
      <c r="A55" s="1" t="s">
        <v>81</v>
      </c>
      <c r="B55" s="1" t="s">
        <v>320</v>
      </c>
      <c r="C55" s="1" t="n">
        <v>517</v>
      </c>
      <c r="D55" s="1" t="n">
        <f aca="false">IF(LEFT(B55,9)="Very high",100,IF(LEFT(B55,4)="High",80,IF(LEFT(B55,8)="Moderate",60,IF(LEFT(B55,3)="Low",40,IF(LEFT(B55,8)="Very low",20)))))</f>
        <v>60</v>
      </c>
      <c r="G55" s="1" t="s">
        <v>157</v>
      </c>
      <c r="H55" s="1" t="s">
        <v>320</v>
      </c>
      <c r="I55" s="1" t="n">
        <v>518</v>
      </c>
    </row>
    <row r="56" customFormat="false" ht="15.75" hidden="false" customHeight="true" outlineLevel="0" collapsed="false">
      <c r="A56" s="1" t="s">
        <v>63</v>
      </c>
      <c r="B56" s="1" t="s">
        <v>320</v>
      </c>
      <c r="C56" s="1" t="n">
        <v>516</v>
      </c>
      <c r="D56" s="1" t="n">
        <f aca="false">IF(LEFT(B56,9)="Very high",100,IF(LEFT(B56,4)="High",80,IF(LEFT(B56,8)="Moderate",60,IF(LEFT(B56,3)="Low",40,IF(LEFT(B56,8)="Very low",20)))))</f>
        <v>60</v>
      </c>
      <c r="G56" s="1" t="s">
        <v>321</v>
      </c>
      <c r="H56" s="1" t="s">
        <v>320</v>
      </c>
      <c r="I56" s="1" t="n">
        <v>513</v>
      </c>
    </row>
    <row r="57" customFormat="false" ht="15.75" hidden="false" customHeight="true" outlineLevel="0" collapsed="false">
      <c r="A57" s="1" t="s">
        <v>113</v>
      </c>
      <c r="B57" s="1" t="s">
        <v>320</v>
      </c>
      <c r="C57" s="1" t="n">
        <v>515</v>
      </c>
      <c r="D57" s="1" t="n">
        <f aca="false">IF(LEFT(B57,9)="Very high",100,IF(LEFT(B57,4)="High",80,IF(LEFT(B57,8)="Moderate",60,IF(LEFT(B57,3)="Low",40,IF(LEFT(B57,8)="Very low",20)))))</f>
        <v>60</v>
      </c>
      <c r="G57" s="1" t="s">
        <v>110</v>
      </c>
      <c r="H57" s="1" t="s">
        <v>320</v>
      </c>
      <c r="I57" s="1" t="n">
        <v>512</v>
      </c>
    </row>
    <row r="58" customFormat="false" ht="15.75" hidden="false" customHeight="true" outlineLevel="0" collapsed="false">
      <c r="A58" s="1" t="s">
        <v>77</v>
      </c>
      <c r="B58" s="1" t="s">
        <v>320</v>
      </c>
      <c r="C58" s="1" t="n">
        <v>515</v>
      </c>
      <c r="D58" s="1" t="n">
        <f aca="false">IF(LEFT(B58,9)="Very high",100,IF(LEFT(B58,4)="High",80,IF(LEFT(B58,8)="Moderate",60,IF(LEFT(B58,3)="Low",40,IF(LEFT(B58,8)="Very low",20)))))</f>
        <v>60</v>
      </c>
      <c r="G58" s="1" t="s">
        <v>108</v>
      </c>
      <c r="H58" s="1" t="s">
        <v>320</v>
      </c>
      <c r="I58" s="1" t="n">
        <v>510</v>
      </c>
    </row>
    <row r="59" customFormat="false" ht="15.75" hidden="false" customHeight="true" outlineLevel="0" collapsed="false">
      <c r="A59" s="1" t="s">
        <v>110</v>
      </c>
      <c r="B59" s="1" t="s">
        <v>320</v>
      </c>
      <c r="C59" s="1" t="n">
        <v>514</v>
      </c>
      <c r="D59" s="1" t="n">
        <f aca="false">IF(LEFT(B59,9)="Very high",100,IF(LEFT(B59,4)="High",80,IF(LEFT(B59,8)="Moderate",60,IF(LEFT(B59,3)="Low",40,IF(LEFT(B59,8)="Very low",20)))))</f>
        <v>60</v>
      </c>
      <c r="G59" s="1" t="s">
        <v>136</v>
      </c>
      <c r="H59" s="1" t="s">
        <v>320</v>
      </c>
      <c r="I59" s="1" t="n">
        <v>507</v>
      </c>
    </row>
    <row r="60" customFormat="false" ht="15.75" hidden="false" customHeight="true" outlineLevel="0" collapsed="false">
      <c r="A60" s="1" t="s">
        <v>43</v>
      </c>
      <c r="B60" s="1" t="s">
        <v>320</v>
      </c>
      <c r="C60" s="1" t="n">
        <v>513</v>
      </c>
      <c r="D60" s="1" t="n">
        <f aca="false">IF(LEFT(B60,9)="Very high",100,IF(LEFT(B60,4)="High",80,IF(LEFT(B60,8)="Moderate",60,IF(LEFT(B60,3)="Low",40,IF(LEFT(B60,8)="Very low",20)))))</f>
        <v>60</v>
      </c>
      <c r="G60" s="1" t="s">
        <v>153</v>
      </c>
      <c r="H60" s="1" t="s">
        <v>320</v>
      </c>
      <c r="I60" s="1" t="n">
        <v>505</v>
      </c>
    </row>
    <row r="61" customFormat="false" ht="15.75" hidden="false" customHeight="true" outlineLevel="0" collapsed="false">
      <c r="A61" s="1" t="s">
        <v>153</v>
      </c>
      <c r="B61" s="1" t="s">
        <v>320</v>
      </c>
      <c r="C61" s="1" t="n">
        <v>512</v>
      </c>
      <c r="D61" s="1" t="n">
        <f aca="false">IF(LEFT(B61,9)="Very high",100,IF(LEFT(B61,4)="High",80,IF(LEFT(B61,8)="Moderate",60,IF(LEFT(B61,3)="Low",40,IF(LEFT(B61,8)="Very low",20)))))</f>
        <v>60</v>
      </c>
      <c r="G61" s="1" t="s">
        <v>87</v>
      </c>
      <c r="H61" s="1" t="s">
        <v>320</v>
      </c>
      <c r="I61" s="1" t="n">
        <v>503</v>
      </c>
    </row>
    <row r="62" customFormat="false" ht="15.75" hidden="false" customHeight="true" outlineLevel="0" collapsed="false">
      <c r="A62" s="1" t="s">
        <v>136</v>
      </c>
      <c r="B62" s="1" t="s">
        <v>320</v>
      </c>
      <c r="C62" s="1" t="n">
        <v>510</v>
      </c>
      <c r="D62" s="1" t="n">
        <f aca="false">IF(LEFT(B62,9)="Very high",100,IF(LEFT(B62,4)="High",80,IF(LEFT(B62,8)="Moderate",60,IF(LEFT(B62,3)="Low",40,IF(LEFT(B62,8)="Very low",20)))))</f>
        <v>60</v>
      </c>
      <c r="G62" s="1" t="s">
        <v>107</v>
      </c>
      <c r="H62" s="1" t="s">
        <v>320</v>
      </c>
      <c r="I62" s="1" t="n">
        <v>500</v>
      </c>
    </row>
    <row r="63" customFormat="false" ht="15.75" hidden="false" customHeight="true" outlineLevel="0" collapsed="false">
      <c r="A63" s="1" t="s">
        <v>107</v>
      </c>
      <c r="B63" s="1" t="s">
        <v>320</v>
      </c>
      <c r="C63" s="1" t="n">
        <v>506</v>
      </c>
      <c r="D63" s="1" t="n">
        <f aca="false">IF(LEFT(B63,9)="Very high",100,IF(LEFT(B63,4)="High",80,IF(LEFT(B63,8)="Moderate",60,IF(LEFT(B63,3)="Low",40,IF(LEFT(B63,8)="Very low",20)))))</f>
        <v>60</v>
      </c>
      <c r="G63" s="1" t="s">
        <v>106</v>
      </c>
      <c r="H63" s="1" t="s">
        <v>322</v>
      </c>
      <c r="I63" s="1" t="n">
        <v>499</v>
      </c>
    </row>
    <row r="64" customFormat="false" ht="15.75" hidden="false" customHeight="true" outlineLevel="0" collapsed="false">
      <c r="A64" s="1" t="s">
        <v>87</v>
      </c>
      <c r="B64" s="1" t="s">
        <v>320</v>
      </c>
      <c r="C64" s="1" t="n">
        <v>503</v>
      </c>
      <c r="D64" s="1" t="n">
        <f aca="false">IF(LEFT(B64,9)="Very high",100,IF(LEFT(B64,4)="High",80,IF(LEFT(B64,8)="Moderate",60,IF(LEFT(B64,3)="Low",40,IF(LEFT(B64,8)="Very low",20)))))</f>
        <v>60</v>
      </c>
      <c r="G64" s="1" t="s">
        <v>139</v>
      </c>
      <c r="H64" s="1" t="s">
        <v>322</v>
      </c>
      <c r="I64" s="1" t="n">
        <v>498</v>
      </c>
    </row>
    <row r="65" customFormat="false" ht="15.75" hidden="false" customHeight="true" outlineLevel="0" collapsed="false">
      <c r="A65" s="1" t="s">
        <v>97</v>
      </c>
      <c r="B65" s="1" t="s">
        <v>320</v>
      </c>
      <c r="C65" s="1" t="n">
        <v>500</v>
      </c>
      <c r="D65" s="1" t="n">
        <f aca="false">IF(LEFT(B65,9)="Very high",100,IF(LEFT(B65,4)="High",80,IF(LEFT(B65,8)="Moderate",60,IF(LEFT(B65,3)="Low",40,IF(LEFT(B65,8)="Very low",20)))))</f>
        <v>60</v>
      </c>
      <c r="G65" s="1" t="s">
        <v>97</v>
      </c>
      <c r="H65" s="1" t="s">
        <v>322</v>
      </c>
      <c r="I65" s="1" t="n">
        <v>498</v>
      </c>
    </row>
    <row r="66" customFormat="false" ht="15.75" hidden="false" customHeight="true" outlineLevel="0" collapsed="false">
      <c r="A66" s="1" t="s">
        <v>139</v>
      </c>
      <c r="B66" s="1" t="s">
        <v>322</v>
      </c>
      <c r="C66" s="1" t="n">
        <v>499</v>
      </c>
      <c r="D66" s="1" t="n">
        <f aca="false">IF(LEFT(B66,9)="Very high",100,IF(LEFT(B66,4)="High",80,IF(LEFT(B66,8)="Moderate",60,IF(LEFT(B66,3)="Low",40,IF(LEFT(B66,8)="Very low",20)))))</f>
        <v>40</v>
      </c>
      <c r="G66" s="1" t="s">
        <v>62</v>
      </c>
      <c r="H66" s="1" t="s">
        <v>322</v>
      </c>
      <c r="I66" s="1" t="n">
        <v>497</v>
      </c>
    </row>
    <row r="67" customFormat="false" ht="15.75" hidden="false" customHeight="true" outlineLevel="0" collapsed="false">
      <c r="A67" s="1" t="s">
        <v>101</v>
      </c>
      <c r="B67" s="1" t="s">
        <v>322</v>
      </c>
      <c r="C67" s="1" t="n">
        <v>498</v>
      </c>
      <c r="D67" s="1" t="n">
        <f aca="false">IF(LEFT(B67,9)="Very high",100,IF(LEFT(B67,4)="High",80,IF(LEFT(B67,8)="Moderate",60,IF(LEFT(B67,3)="Low",40,IF(LEFT(B67,8)="Very low",20)))))</f>
        <v>40</v>
      </c>
      <c r="G67" s="1" t="s">
        <v>101</v>
      </c>
      <c r="H67" s="1" t="s">
        <v>322</v>
      </c>
      <c r="I67" s="1" t="n">
        <v>496</v>
      </c>
    </row>
    <row r="68" customFormat="false" ht="15.75" hidden="false" customHeight="true" outlineLevel="0" collapsed="false">
      <c r="A68" s="1" t="s">
        <v>111</v>
      </c>
      <c r="B68" s="1" t="s">
        <v>322</v>
      </c>
      <c r="C68" s="1" t="n">
        <v>493</v>
      </c>
      <c r="D68" s="1" t="n">
        <f aca="false">IF(LEFT(B68,9)="Very high",100,IF(LEFT(B68,4)="High",80,IF(LEFT(B68,8)="Moderate",60,IF(LEFT(B68,3)="Low",40,IF(LEFT(B68,8)="Very low",20)))))</f>
        <v>40</v>
      </c>
      <c r="G68" s="1" t="s">
        <v>111</v>
      </c>
      <c r="H68" s="1" t="s">
        <v>322</v>
      </c>
      <c r="I68" s="1" t="n">
        <v>493</v>
      </c>
    </row>
    <row r="69" customFormat="false" ht="15.75" hidden="false" customHeight="true" outlineLevel="0" collapsed="false">
      <c r="A69" s="1" t="s">
        <v>106</v>
      </c>
      <c r="B69" s="1" t="s">
        <v>322</v>
      </c>
      <c r="C69" s="1" t="n">
        <v>492</v>
      </c>
      <c r="D69" s="1" t="n">
        <f aca="false">IF(LEFT(B69,9)="Very high",100,IF(LEFT(B69,4)="High",80,IF(LEFT(B69,8)="Moderate",60,IF(LEFT(B69,3)="Low",40,IF(LEFT(B69,8)="Very low",20)))))</f>
        <v>40</v>
      </c>
      <c r="G69" s="1" t="s">
        <v>132</v>
      </c>
      <c r="H69" s="1" t="s">
        <v>322</v>
      </c>
      <c r="I69" s="1" t="n">
        <v>492</v>
      </c>
    </row>
    <row r="70" customFormat="false" ht="15.75" hidden="false" customHeight="true" outlineLevel="0" collapsed="false">
      <c r="A70" s="1" t="s">
        <v>94</v>
      </c>
      <c r="B70" s="1" t="s">
        <v>322</v>
      </c>
      <c r="C70" s="1" t="n">
        <v>492</v>
      </c>
      <c r="D70" s="1" t="n">
        <f aca="false">IF(LEFT(B70,9)="Very high",100,IF(LEFT(B70,4)="High",80,IF(LEFT(B70,8)="Moderate",60,IF(LEFT(B70,3)="Low",40,IF(LEFT(B70,8)="Very low",20)))))</f>
        <v>40</v>
      </c>
      <c r="G70" s="1" t="s">
        <v>96</v>
      </c>
      <c r="H70" s="1" t="s">
        <v>322</v>
      </c>
      <c r="I70" s="1" t="n">
        <v>490</v>
      </c>
    </row>
    <row r="71" customFormat="false" ht="15.75" hidden="false" customHeight="true" outlineLevel="0" collapsed="false">
      <c r="A71" s="1" t="s">
        <v>70</v>
      </c>
      <c r="B71" s="1" t="s">
        <v>322</v>
      </c>
      <c r="C71" s="1" t="n">
        <v>491</v>
      </c>
      <c r="D71" s="1" t="n">
        <f aca="false">IF(LEFT(B71,9)="Very high",100,IF(LEFT(B71,4)="High",80,IF(LEFT(B71,8)="Moderate",60,IF(LEFT(B71,3)="Low",40,IF(LEFT(B71,8)="Very low",20)))))</f>
        <v>40</v>
      </c>
      <c r="G71" s="1" t="s">
        <v>33</v>
      </c>
      <c r="H71" s="1" t="s">
        <v>322</v>
      </c>
      <c r="I71" s="1" t="n">
        <v>489</v>
      </c>
    </row>
    <row r="72" customFormat="false" ht="15.75" hidden="false" customHeight="true" outlineLevel="0" collapsed="false">
      <c r="A72" s="1" t="s">
        <v>62</v>
      </c>
      <c r="B72" s="1" t="s">
        <v>322</v>
      </c>
      <c r="C72" s="1" t="n">
        <v>488</v>
      </c>
      <c r="D72" s="1" t="n">
        <f aca="false">IF(LEFT(B72,9)="Very high",100,IF(LEFT(B72,4)="High",80,IF(LEFT(B72,8)="Moderate",60,IF(LEFT(B72,3)="Low",40,IF(LEFT(B72,8)="Very low",20)))))</f>
        <v>40</v>
      </c>
      <c r="G72" s="1" t="s">
        <v>70</v>
      </c>
      <c r="H72" s="1" t="s">
        <v>322</v>
      </c>
      <c r="I72" s="1" t="n">
        <v>488</v>
      </c>
    </row>
    <row r="73" customFormat="false" ht="15.75" hidden="false" customHeight="true" outlineLevel="0" collapsed="false">
      <c r="A73" s="1" t="s">
        <v>33</v>
      </c>
      <c r="B73" s="1" t="s">
        <v>322</v>
      </c>
      <c r="C73" s="1" t="n">
        <v>487</v>
      </c>
      <c r="D73" s="1" t="n">
        <f aca="false">IF(LEFT(B73,9)="Very high",100,IF(LEFT(B73,4)="High",80,IF(LEFT(B73,8)="Moderate",60,IF(LEFT(B73,3)="Low",40,IF(LEFT(B73,8)="Very low",20)))))</f>
        <v>40</v>
      </c>
      <c r="G73" s="1" t="s">
        <v>158</v>
      </c>
      <c r="H73" s="1" t="s">
        <v>322</v>
      </c>
      <c r="I73" s="1" t="n">
        <v>487</v>
      </c>
    </row>
    <row r="74" customFormat="false" ht="15.75" hidden="false" customHeight="true" outlineLevel="0" collapsed="false">
      <c r="A74" s="1" t="s">
        <v>109</v>
      </c>
      <c r="B74" s="1" t="s">
        <v>322</v>
      </c>
      <c r="C74" s="1" t="n">
        <v>486</v>
      </c>
      <c r="D74" s="1" t="n">
        <f aca="false">IF(LEFT(B74,9)="Very high",100,IF(LEFT(B74,4)="High",80,IF(LEFT(B74,8)="Moderate",60,IF(LEFT(B74,3)="Low",40,IF(LEFT(B74,8)="Very low",20)))))</f>
        <v>40</v>
      </c>
      <c r="G74" s="1" t="s">
        <v>109</v>
      </c>
      <c r="H74" s="1" t="s">
        <v>322</v>
      </c>
      <c r="I74" s="1" t="n">
        <v>486</v>
      </c>
    </row>
    <row r="75" customFormat="false" ht="15.75" hidden="false" customHeight="true" outlineLevel="0" collapsed="false">
      <c r="A75" s="1" t="s">
        <v>96</v>
      </c>
      <c r="B75" s="1" t="s">
        <v>322</v>
      </c>
      <c r="C75" s="1" t="n">
        <v>484</v>
      </c>
      <c r="D75" s="1" t="n">
        <f aca="false">IF(LEFT(B75,9)="Very high",100,IF(LEFT(B75,4)="High",80,IF(LEFT(B75,8)="Moderate",60,IF(LEFT(B75,3)="Low",40,IF(LEFT(B75,8)="Very low",20)))))</f>
        <v>40</v>
      </c>
      <c r="G75" s="1" t="s">
        <v>82</v>
      </c>
      <c r="H75" s="1" t="s">
        <v>322</v>
      </c>
      <c r="I75" s="1" t="n">
        <v>485</v>
      </c>
    </row>
    <row r="76" customFormat="false" ht="15.75" hidden="false" customHeight="true" outlineLevel="0" collapsed="false">
      <c r="A76" s="1" t="s">
        <v>91</v>
      </c>
      <c r="B76" s="1" t="s">
        <v>322</v>
      </c>
      <c r="C76" s="1" t="n">
        <v>482</v>
      </c>
      <c r="D76" s="1" t="n">
        <f aca="false">IF(LEFT(B76,9)="Very high",100,IF(LEFT(B76,4)="High",80,IF(LEFT(B76,8)="Moderate",60,IF(LEFT(B76,3)="Low",40,IF(LEFT(B76,8)="Very low",20)))))</f>
        <v>40</v>
      </c>
      <c r="G76" s="1" t="s">
        <v>19</v>
      </c>
      <c r="H76" s="1" t="s">
        <v>322</v>
      </c>
      <c r="I76" s="1" t="n">
        <v>480</v>
      </c>
    </row>
    <row r="77" customFormat="false" ht="15.75" hidden="false" customHeight="true" outlineLevel="0" collapsed="false">
      <c r="A77" s="1" t="s">
        <v>82</v>
      </c>
      <c r="B77" s="1" t="s">
        <v>322</v>
      </c>
      <c r="C77" s="1" t="n">
        <v>480</v>
      </c>
      <c r="D77" s="1" t="n">
        <f aca="false">IF(LEFT(B77,9)="Very high",100,IF(LEFT(B77,4)="High",80,IF(LEFT(B77,8)="Moderate",60,IF(LEFT(B77,3)="Low",40,IF(LEFT(B77,8)="Very low",20)))))</f>
        <v>40</v>
      </c>
      <c r="G77" s="1" t="s">
        <v>94</v>
      </c>
      <c r="H77" s="1" t="s">
        <v>322</v>
      </c>
      <c r="I77" s="1" t="n">
        <v>479</v>
      </c>
    </row>
    <row r="78" customFormat="false" ht="15.75" hidden="false" customHeight="true" outlineLevel="0" collapsed="false">
      <c r="A78" s="1" t="s">
        <v>158</v>
      </c>
      <c r="B78" s="1" t="s">
        <v>322</v>
      </c>
      <c r="C78" s="1" t="n">
        <v>479</v>
      </c>
      <c r="D78" s="1" t="n">
        <f aca="false">IF(LEFT(B78,9)="Very high",100,IF(LEFT(B78,4)="High",80,IF(LEFT(B78,8)="Moderate",60,IF(LEFT(B78,3)="Low",40,IF(LEFT(B78,8)="Very low",20)))))</f>
        <v>40</v>
      </c>
      <c r="G78" s="1" t="s">
        <v>159</v>
      </c>
      <c r="H78" s="1" t="s">
        <v>322</v>
      </c>
      <c r="I78" s="1" t="n">
        <v>473</v>
      </c>
    </row>
    <row r="79" customFormat="false" ht="15.75" hidden="false" customHeight="true" outlineLevel="0" collapsed="false">
      <c r="A79" s="1" t="s">
        <v>132</v>
      </c>
      <c r="B79" s="1" t="s">
        <v>322</v>
      </c>
      <c r="C79" s="1" t="n">
        <v>477</v>
      </c>
      <c r="D79" s="1" t="n">
        <f aca="false">IF(LEFT(B79,9)="Very high",100,IF(LEFT(B79,4)="High",80,IF(LEFT(B79,8)="Moderate",60,IF(LEFT(B79,3)="Low",40,IF(LEFT(B79,8)="Very low",20)))))</f>
        <v>40</v>
      </c>
      <c r="G79" s="1" t="s">
        <v>103</v>
      </c>
      <c r="H79" s="1" t="s">
        <v>322</v>
      </c>
      <c r="I79" s="1" t="n">
        <v>471</v>
      </c>
    </row>
    <row r="80" customFormat="false" ht="15.75" hidden="false" customHeight="true" outlineLevel="0" collapsed="false">
      <c r="A80" s="1" t="s">
        <v>198</v>
      </c>
      <c r="B80" s="1" t="s">
        <v>322</v>
      </c>
      <c r="C80" s="1" t="n">
        <v>473</v>
      </c>
      <c r="D80" s="1" t="n">
        <f aca="false">IF(LEFT(B80,9)="Very high",100,IF(LEFT(B80,4)="High",80,IF(LEFT(B80,8)="Moderate",60,IF(LEFT(B80,3)="Low",40,IF(LEFT(B80,8)="Very low",20)))))</f>
        <v>40</v>
      </c>
      <c r="G80" s="1" t="s">
        <v>149</v>
      </c>
      <c r="H80" s="1" t="s">
        <v>322</v>
      </c>
      <c r="I80" s="1" t="n">
        <v>469</v>
      </c>
    </row>
    <row r="81" customFormat="false" ht="15.75" hidden="false" customHeight="true" outlineLevel="0" collapsed="false">
      <c r="A81" s="1" t="s">
        <v>105</v>
      </c>
      <c r="B81" s="1" t="s">
        <v>322</v>
      </c>
      <c r="C81" s="1" t="n">
        <v>471</v>
      </c>
      <c r="D81" s="1" t="n">
        <f aca="false">IF(LEFT(B81,9)="Very high",100,IF(LEFT(B81,4)="High",80,IF(LEFT(B81,8)="Moderate",60,IF(LEFT(B81,3)="Low",40,IF(LEFT(B81,8)="Very low",20)))))</f>
        <v>40</v>
      </c>
      <c r="G81" s="1" t="s">
        <v>105</v>
      </c>
      <c r="H81" s="1" t="s">
        <v>322</v>
      </c>
      <c r="I81" s="1" t="n">
        <v>468</v>
      </c>
    </row>
    <row r="82" customFormat="false" ht="15.75" hidden="false" customHeight="true" outlineLevel="0" collapsed="false">
      <c r="A82" s="1" t="s">
        <v>19</v>
      </c>
      <c r="B82" s="1" t="s">
        <v>322</v>
      </c>
      <c r="C82" s="1" t="n">
        <v>469</v>
      </c>
      <c r="D82" s="1" t="n">
        <f aca="false">IF(LEFT(B82,9)="Very high",100,IF(LEFT(B82,4)="High",80,IF(LEFT(B82,8)="Moderate",60,IF(LEFT(B82,3)="Low",40,IF(LEFT(B82,8)="Very low",20)))))</f>
        <v>40</v>
      </c>
      <c r="G82" s="1" t="s">
        <v>91</v>
      </c>
      <c r="H82" s="1" t="s">
        <v>322</v>
      </c>
      <c r="I82" s="1" t="n">
        <v>466</v>
      </c>
    </row>
    <row r="83" customFormat="false" ht="15.75" hidden="false" customHeight="true" outlineLevel="0" collapsed="false">
      <c r="A83" s="1" t="s">
        <v>103</v>
      </c>
      <c r="B83" s="1" t="s">
        <v>322</v>
      </c>
      <c r="C83" s="1" t="n">
        <v>468</v>
      </c>
      <c r="D83" s="1" t="n">
        <f aca="false">IF(LEFT(B83,9)="Very high",100,IF(LEFT(B83,4)="High",80,IF(LEFT(B83,8)="Moderate",60,IF(LEFT(B83,3)="Low",40,IF(LEFT(B83,8)="Very low",20)))))</f>
        <v>40</v>
      </c>
      <c r="G83" s="1" t="s">
        <v>88</v>
      </c>
      <c r="H83" s="1" t="s">
        <v>322</v>
      </c>
      <c r="I83" s="1" t="n">
        <v>465</v>
      </c>
    </row>
    <row r="84" customFormat="false" ht="15.75" hidden="false" customHeight="true" outlineLevel="0" collapsed="false">
      <c r="A84" s="1" t="s">
        <v>88</v>
      </c>
      <c r="B84" s="1" t="s">
        <v>322</v>
      </c>
      <c r="C84" s="1" t="n">
        <v>466</v>
      </c>
      <c r="D84" s="1" t="n">
        <f aca="false">IF(LEFT(B84,9)="Very high",100,IF(LEFT(B84,4)="High",80,IF(LEFT(B84,8)="Moderate",60,IF(LEFT(B84,3)="Low",40,IF(LEFT(B84,8)="Very low",20)))))</f>
        <v>40</v>
      </c>
      <c r="G84" s="1" t="s">
        <v>112</v>
      </c>
      <c r="H84" s="1" t="s">
        <v>322</v>
      </c>
      <c r="I84" s="1" t="n">
        <v>465</v>
      </c>
    </row>
    <row r="85" customFormat="false" ht="15.75" hidden="false" customHeight="true" outlineLevel="0" collapsed="false">
      <c r="A85" s="1" t="s">
        <v>149</v>
      </c>
      <c r="B85" s="1" t="s">
        <v>322</v>
      </c>
      <c r="C85" s="1" t="n">
        <v>465</v>
      </c>
      <c r="D85" s="1" t="n">
        <f aca="false">IF(LEFT(B85,9)="Very high",100,IF(LEFT(B85,4)="High",80,IF(LEFT(B85,8)="Moderate",60,IF(LEFT(B85,3)="Low",40,IF(LEFT(B85,8)="Very low",20)))))</f>
        <v>40</v>
      </c>
      <c r="G85" s="1" t="s">
        <v>147</v>
      </c>
      <c r="H85" s="1" t="s">
        <v>322</v>
      </c>
      <c r="I85" s="1" t="n">
        <v>464</v>
      </c>
    </row>
    <row r="86" customFormat="false" ht="15.75" hidden="false" customHeight="true" outlineLevel="0" collapsed="false">
      <c r="A86" s="1" t="s">
        <v>192</v>
      </c>
      <c r="B86" s="1" t="s">
        <v>322</v>
      </c>
      <c r="C86" s="1" t="n">
        <v>465</v>
      </c>
      <c r="D86" s="1" t="n">
        <f aca="false">IF(LEFT(B86,9)="Very high",100,IF(LEFT(B86,4)="High",80,IF(LEFT(B86,8)="Moderate",60,IF(LEFT(B86,3)="Low",40,IF(LEFT(B86,8)="Very low",20)))))</f>
        <v>40</v>
      </c>
      <c r="G86" s="1" t="s">
        <v>161</v>
      </c>
      <c r="H86" s="1" t="s">
        <v>322</v>
      </c>
      <c r="I86" s="1" t="n">
        <v>463</v>
      </c>
    </row>
    <row r="87" customFormat="false" ht="15.75" hidden="false" customHeight="true" outlineLevel="0" collapsed="false">
      <c r="A87" s="1" t="s">
        <v>61</v>
      </c>
      <c r="B87" s="1" t="s">
        <v>322</v>
      </c>
      <c r="C87" s="1" t="n">
        <v>464</v>
      </c>
      <c r="D87" s="1" t="n">
        <f aca="false">IF(LEFT(B87,9)="Very high",100,IF(LEFT(B87,4)="High",80,IF(LEFT(B87,8)="Moderate",60,IF(LEFT(B87,3)="Low",40,IF(LEFT(B87,8)="Very low",20)))))</f>
        <v>40</v>
      </c>
      <c r="G87" s="1" t="s">
        <v>95</v>
      </c>
      <c r="H87" s="1" t="s">
        <v>322</v>
      </c>
      <c r="I87" s="1" t="n">
        <v>462</v>
      </c>
    </row>
    <row r="88" customFormat="false" ht="15.75" hidden="false" customHeight="true" outlineLevel="0" collapsed="false">
      <c r="A88" s="1" t="s">
        <v>184</v>
      </c>
      <c r="B88" s="1" t="s">
        <v>322</v>
      </c>
      <c r="C88" s="1" t="n">
        <v>463</v>
      </c>
      <c r="D88" s="1" t="n">
        <f aca="false">IF(LEFT(B88,9)="Very high",100,IF(LEFT(B88,4)="High",80,IF(LEFT(B88,8)="Moderate",60,IF(LEFT(B88,3)="Low",40,IF(LEFT(B88,8)="Very low",20)))))</f>
        <v>40</v>
      </c>
      <c r="G88" s="1" t="s">
        <v>73</v>
      </c>
      <c r="H88" s="1" t="s">
        <v>322</v>
      </c>
      <c r="I88" s="1" t="n">
        <v>459</v>
      </c>
    </row>
    <row r="89" customFormat="false" ht="15.75" hidden="false" customHeight="true" outlineLevel="0" collapsed="false">
      <c r="A89" s="1" t="s">
        <v>300</v>
      </c>
      <c r="B89" s="1" t="s">
        <v>322</v>
      </c>
      <c r="C89" s="1" t="n">
        <v>461</v>
      </c>
      <c r="D89" s="1" t="n">
        <f aca="false">IF(LEFT(B89,9)="Very high",100,IF(LEFT(B89,4)="High",80,IF(LEFT(B89,8)="Moderate",60,IF(LEFT(B89,3)="Low",40,IF(LEFT(B89,8)="Very low",20)))))</f>
        <v>40</v>
      </c>
      <c r="G89" s="1" t="s">
        <v>93</v>
      </c>
      <c r="H89" s="1" t="s">
        <v>322</v>
      </c>
      <c r="I89" s="1" t="n">
        <v>457</v>
      </c>
    </row>
    <row r="90" customFormat="false" ht="15.75" hidden="false" customHeight="true" outlineLevel="0" collapsed="false">
      <c r="A90" s="1" t="s">
        <v>112</v>
      </c>
      <c r="B90" s="1" t="s">
        <v>322</v>
      </c>
      <c r="C90" s="1" t="n">
        <v>458</v>
      </c>
      <c r="D90" s="1" t="n">
        <f aca="false">IF(LEFT(B90,9)="Very high",100,IF(LEFT(B90,4)="High",80,IF(LEFT(B90,8)="Moderate",60,IF(LEFT(B90,3)="Low",40,IF(LEFT(B90,8)="Very low",20)))))</f>
        <v>40</v>
      </c>
      <c r="G90" s="1" t="s">
        <v>323</v>
      </c>
      <c r="H90" s="1" t="s">
        <v>322</v>
      </c>
      <c r="I90" s="1" t="n">
        <v>456</v>
      </c>
    </row>
    <row r="91" customFormat="false" ht="15.75" hidden="false" customHeight="true" outlineLevel="0" collapsed="false">
      <c r="A91" s="1" t="s">
        <v>161</v>
      </c>
      <c r="B91" s="1" t="s">
        <v>322</v>
      </c>
      <c r="C91" s="1" t="n">
        <v>457</v>
      </c>
      <c r="D91" s="1" t="n">
        <f aca="false">IF(LEFT(B91,9)="Very high",100,IF(LEFT(B91,4)="High",80,IF(LEFT(B91,8)="Moderate",60,IF(LEFT(B91,3)="Low",40,IF(LEFT(B91,8)="Very low",20)))))</f>
        <v>40</v>
      </c>
      <c r="G91" s="1" t="s">
        <v>27</v>
      </c>
      <c r="H91" s="1" t="s">
        <v>322</v>
      </c>
      <c r="I91" s="1" t="n">
        <v>456</v>
      </c>
    </row>
    <row r="92" customFormat="false" ht="15.75" hidden="false" customHeight="true" outlineLevel="0" collapsed="false">
      <c r="A92" s="1" t="s">
        <v>159</v>
      </c>
      <c r="B92" s="1" t="s">
        <v>322</v>
      </c>
      <c r="C92" s="1" t="n">
        <v>456</v>
      </c>
      <c r="D92" s="1" t="n">
        <f aca="false">IF(LEFT(B92,9)="Very high",100,IF(LEFT(B92,4)="High",80,IF(LEFT(B92,8)="Moderate",60,IF(LEFT(B92,3)="Low",40,IF(LEFT(B92,8)="Very low",20)))))</f>
        <v>40</v>
      </c>
      <c r="G92" s="1" t="s">
        <v>61</v>
      </c>
      <c r="H92" s="1" t="s">
        <v>322</v>
      </c>
      <c r="I92" s="1" t="n">
        <v>455</v>
      </c>
    </row>
    <row r="93" customFormat="false" ht="15.75" hidden="false" customHeight="true" outlineLevel="0" collapsed="false">
      <c r="A93" s="1" t="s">
        <v>118</v>
      </c>
      <c r="B93" s="1" t="s">
        <v>322</v>
      </c>
      <c r="C93" s="1" t="n">
        <v>456</v>
      </c>
      <c r="D93" s="1" t="n">
        <f aca="false">IF(LEFT(B93,9)="Very high",100,IF(LEFT(B93,4)="High",80,IF(LEFT(B93,8)="Moderate",60,IF(LEFT(B93,3)="Low",40,IF(LEFT(B93,8)="Very low",20)))))</f>
        <v>40</v>
      </c>
      <c r="G93" s="1" t="s">
        <v>40</v>
      </c>
      <c r="H93" s="1" t="s">
        <v>322</v>
      </c>
      <c r="I93" s="1" t="n">
        <v>454</v>
      </c>
    </row>
    <row r="94" customFormat="false" ht="15.75" hidden="false" customHeight="true" outlineLevel="0" collapsed="false">
      <c r="A94" s="1" t="s">
        <v>27</v>
      </c>
      <c r="B94" s="1" t="s">
        <v>322</v>
      </c>
      <c r="C94" s="1" t="n">
        <v>455</v>
      </c>
      <c r="D94" s="1" t="n">
        <f aca="false">IF(LEFT(B94,9)="Very high",100,IF(LEFT(B94,4)="High",80,IF(LEFT(B94,8)="Moderate",60,IF(LEFT(B94,3)="Low",40,IF(LEFT(B94,8)="Very low",20)))))</f>
        <v>40</v>
      </c>
      <c r="G94" s="1" t="s">
        <v>151</v>
      </c>
      <c r="H94" s="1" t="s">
        <v>324</v>
      </c>
      <c r="I94" s="1" t="n">
        <v>449</v>
      </c>
    </row>
    <row r="95" customFormat="false" ht="15.75" hidden="false" customHeight="true" outlineLevel="0" collapsed="false">
      <c r="A95" s="1" t="s">
        <v>95</v>
      </c>
      <c r="B95" s="1" t="s">
        <v>322</v>
      </c>
      <c r="C95" s="1" t="n">
        <v>454</v>
      </c>
      <c r="D95" s="1" t="n">
        <f aca="false">IF(LEFT(B95,9)="Very high",100,IF(LEFT(B95,4)="High",80,IF(LEFT(B95,8)="Moderate",60,IF(LEFT(B95,3)="Low",40,IF(LEFT(B95,8)="Very low",20)))))</f>
        <v>40</v>
      </c>
      <c r="G95" s="1" t="s">
        <v>184</v>
      </c>
      <c r="H95" s="1" t="s">
        <v>324</v>
      </c>
      <c r="I95" s="1" t="n">
        <v>448</v>
      </c>
    </row>
    <row r="96" customFormat="false" ht="15.75" hidden="false" customHeight="true" outlineLevel="0" collapsed="false">
      <c r="A96" s="1" t="s">
        <v>147</v>
      </c>
      <c r="B96" s="1" t="s">
        <v>324</v>
      </c>
      <c r="C96" s="1" t="n">
        <v>447</v>
      </c>
      <c r="D96" s="1" t="n">
        <f aca="false">IF(LEFT(B96,9)="Very high",100,IF(LEFT(B96,4)="High",80,IF(LEFT(B96,8)="Moderate",60,IF(LEFT(B96,3)="Low",40,IF(LEFT(B96,8)="Very low",20)))))</f>
        <v>20</v>
      </c>
      <c r="G96" s="1" t="s">
        <v>162</v>
      </c>
      <c r="H96" s="1" t="s">
        <v>324</v>
      </c>
      <c r="I96" s="1" t="n">
        <v>447</v>
      </c>
    </row>
    <row r="97" customFormat="false" ht="15.75" hidden="false" customHeight="true" outlineLevel="0" collapsed="false">
      <c r="A97" s="1" t="s">
        <v>162</v>
      </c>
      <c r="B97" s="1" t="s">
        <v>324</v>
      </c>
      <c r="C97" s="1" t="n">
        <v>446</v>
      </c>
      <c r="D97" s="1" t="n">
        <f aca="false">IF(LEFT(B97,9)="Very high",100,IF(LEFT(B97,4)="High",80,IF(LEFT(B97,8)="Moderate",60,IF(LEFT(B97,3)="Low",40,IF(LEFT(B97,8)="Very low",20)))))</f>
        <v>20</v>
      </c>
      <c r="G97" s="1" t="s">
        <v>192</v>
      </c>
      <c r="H97" s="1" t="s">
        <v>324</v>
      </c>
      <c r="I97" s="1" t="n">
        <v>447</v>
      </c>
    </row>
    <row r="98" customFormat="false" ht="15.75" hidden="false" customHeight="true" outlineLevel="0" collapsed="false">
      <c r="A98" s="1" t="s">
        <v>40</v>
      </c>
      <c r="B98" s="1" t="s">
        <v>324</v>
      </c>
      <c r="C98" s="1" t="n">
        <v>446</v>
      </c>
      <c r="D98" s="1" t="n">
        <f aca="false">IF(LEFT(B98,9)="Very high",100,IF(LEFT(B98,4)="High",80,IF(LEFT(B98,8)="Moderate",60,IF(LEFT(B98,3)="Low",40,IF(LEFT(B98,8)="Very low",20)))))</f>
        <v>20</v>
      </c>
      <c r="G98" s="1" t="s">
        <v>143</v>
      </c>
      <c r="H98" s="1" t="s">
        <v>324</v>
      </c>
      <c r="I98" s="1" t="n">
        <v>445</v>
      </c>
    </row>
    <row r="99" customFormat="false" ht="15.75" hidden="false" customHeight="true" outlineLevel="0" collapsed="false">
      <c r="A99" s="1" t="s">
        <v>143</v>
      </c>
      <c r="B99" s="1" t="s">
        <v>324</v>
      </c>
      <c r="C99" s="1" t="n">
        <v>445</v>
      </c>
      <c r="D99" s="1" t="n">
        <f aca="false">IF(LEFT(B99,9)="Very high",100,IF(LEFT(B99,4)="High",80,IF(LEFT(B99,8)="Moderate",60,IF(LEFT(B99,3)="Low",40,IF(LEFT(B99,8)="Very low",20)))))</f>
        <v>20</v>
      </c>
      <c r="G99" s="1" t="s">
        <v>89</v>
      </c>
      <c r="H99" s="1" t="s">
        <v>324</v>
      </c>
      <c r="I99" s="1" t="n">
        <v>439</v>
      </c>
    </row>
    <row r="100" customFormat="false" ht="15.75" hidden="false" customHeight="true" outlineLevel="0" collapsed="false">
      <c r="A100" s="1" t="s">
        <v>151</v>
      </c>
      <c r="B100" s="1" t="s">
        <v>324</v>
      </c>
      <c r="C100" s="1" t="n">
        <v>444</v>
      </c>
      <c r="D100" s="1" t="n">
        <f aca="false">IF(LEFT(B100,9)="Very high",100,IF(LEFT(B100,4)="High",80,IF(LEFT(B100,8)="Moderate",60,IF(LEFT(B100,3)="Low",40,IF(LEFT(B100,8)="Very low",20)))))</f>
        <v>20</v>
      </c>
      <c r="G100" s="1" t="s">
        <v>216</v>
      </c>
      <c r="H100" s="1" t="s">
        <v>324</v>
      </c>
      <c r="I100" s="1" t="n">
        <v>432</v>
      </c>
    </row>
    <row r="101" customFormat="false" ht="15.75" hidden="false" customHeight="true" outlineLevel="0" collapsed="false">
      <c r="A101" s="1" t="s">
        <v>216</v>
      </c>
      <c r="B101" s="1" t="s">
        <v>324</v>
      </c>
      <c r="C101" s="1" t="n">
        <v>444</v>
      </c>
      <c r="D101" s="1" t="n">
        <f aca="false">IF(LEFT(B101,9)="Very high",100,IF(LEFT(B101,4)="High",80,IF(LEFT(B101,8)="Moderate",60,IF(LEFT(B101,3)="Low",40,IF(LEFT(B101,8)="Very low",20)))))</f>
        <v>20</v>
      </c>
      <c r="G101" s="1" t="s">
        <v>191</v>
      </c>
      <c r="H101" s="1" t="s">
        <v>324</v>
      </c>
      <c r="I101" s="1" t="n">
        <v>432</v>
      </c>
    </row>
    <row r="102" customFormat="false" ht="15.75" hidden="false" customHeight="true" outlineLevel="0" collapsed="false">
      <c r="A102" s="1" t="s">
        <v>93</v>
      </c>
      <c r="B102" s="1" t="s">
        <v>324</v>
      </c>
      <c r="C102" s="1" t="n">
        <v>443</v>
      </c>
      <c r="D102" s="1" t="n">
        <f aca="false">IF(LEFT(B102,9)="Very high",100,IF(LEFT(B102,4)="High",80,IF(LEFT(B102,8)="Moderate",60,IF(LEFT(B102,3)="Low",40,IF(LEFT(B102,8)="Very low",20)))))</f>
        <v>20</v>
      </c>
      <c r="G102" s="1" t="s">
        <v>75</v>
      </c>
      <c r="H102" s="1" t="s">
        <v>324</v>
      </c>
      <c r="I102" s="1" t="n">
        <v>431</v>
      </c>
    </row>
    <row r="103" customFormat="false" ht="15.75" hidden="false" customHeight="true" outlineLevel="0" collapsed="false">
      <c r="A103" s="1" t="s">
        <v>131</v>
      </c>
      <c r="B103" s="1" t="s">
        <v>324</v>
      </c>
      <c r="C103" s="1" t="n">
        <v>442</v>
      </c>
      <c r="D103" s="1" t="n">
        <f aca="false">IF(LEFT(B103,9)="Very high",100,IF(LEFT(B103,4)="High",80,IF(LEFT(B103,8)="Moderate",60,IF(LEFT(B103,3)="Low",40,IF(LEFT(B103,8)="Very low",20)))))</f>
        <v>20</v>
      </c>
      <c r="G103" s="1" t="s">
        <v>131</v>
      </c>
      <c r="H103" s="1" t="s">
        <v>324</v>
      </c>
      <c r="I103" s="1" t="n">
        <v>429</v>
      </c>
    </row>
    <row r="104" customFormat="false" ht="15.75" hidden="false" customHeight="true" outlineLevel="0" collapsed="false">
      <c r="A104" s="1" t="s">
        <v>73</v>
      </c>
      <c r="B104" s="1" t="s">
        <v>324</v>
      </c>
      <c r="C104" s="1" t="n">
        <v>440</v>
      </c>
      <c r="D104" s="1" t="n">
        <f aca="false">IF(LEFT(B104,9)="Very high",100,IF(LEFT(B104,4)="High",80,IF(LEFT(B104,8)="Moderate",60,IF(LEFT(B104,3)="Low",40,IF(LEFT(B104,8)="Very low",20)))))</f>
        <v>20</v>
      </c>
      <c r="G104" s="1" t="s">
        <v>80</v>
      </c>
      <c r="H104" s="1" t="s">
        <v>324</v>
      </c>
      <c r="I104" s="1" t="n">
        <v>427</v>
      </c>
    </row>
    <row r="105" customFormat="false" ht="15.75" hidden="false" customHeight="true" outlineLevel="0" collapsed="false">
      <c r="A105" s="1" t="s">
        <v>89</v>
      </c>
      <c r="B105" s="1" t="s">
        <v>324</v>
      </c>
      <c r="C105" s="1" t="n">
        <v>429</v>
      </c>
      <c r="D105" s="1" t="n">
        <f aca="false">IF(LEFT(B105,9)="Very high",100,IF(LEFT(B105,4)="High",80,IF(LEFT(B105,8)="Moderate",60,IF(LEFT(B105,3)="Low",40,IF(LEFT(B105,8)="Very low",20)))))</f>
        <v>20</v>
      </c>
      <c r="G105" s="1" t="s">
        <v>37</v>
      </c>
      <c r="H105" s="1" t="s">
        <v>324</v>
      </c>
      <c r="I105" s="1" t="n">
        <v>421</v>
      </c>
    </row>
    <row r="106" customFormat="false" ht="15.75" hidden="false" customHeight="true" outlineLevel="0" collapsed="false">
      <c r="A106" s="1" t="s">
        <v>75</v>
      </c>
      <c r="B106" s="1" t="s">
        <v>324</v>
      </c>
      <c r="C106" s="1" t="n">
        <v>425</v>
      </c>
      <c r="D106" s="1" t="n">
        <f aca="false">IF(LEFT(B106,9)="Very high",100,IF(LEFT(B106,4)="High",80,IF(LEFT(B106,8)="Moderate",60,IF(LEFT(B106,3)="Low",40,IF(LEFT(B106,8)="Very low",20)))))</f>
        <v>20</v>
      </c>
      <c r="G106" s="1" t="s">
        <v>44</v>
      </c>
      <c r="H106" s="1" t="s">
        <v>324</v>
      </c>
      <c r="I106" s="1" t="n">
        <v>417</v>
      </c>
    </row>
    <row r="107" customFormat="false" ht="15.75" hidden="false" customHeight="true" outlineLevel="0" collapsed="false">
      <c r="A107" s="1" t="s">
        <v>191</v>
      </c>
      <c r="B107" s="1" t="s">
        <v>324</v>
      </c>
      <c r="C107" s="1" t="n">
        <v>421</v>
      </c>
      <c r="D107" s="1" t="n">
        <f aca="false">IF(LEFT(B107,9)="Very high",100,IF(LEFT(B107,4)="High",80,IF(LEFT(B107,8)="Moderate",60,IF(LEFT(B107,3)="Low",40,IF(LEFT(B107,8)="Very low",20)))))</f>
        <v>20</v>
      </c>
      <c r="G107" s="1" t="s">
        <v>86</v>
      </c>
      <c r="H107" s="1" t="s">
        <v>324</v>
      </c>
      <c r="I107" s="1" t="n">
        <v>415</v>
      </c>
    </row>
    <row r="108" customFormat="false" ht="15.75" hidden="false" customHeight="true" outlineLevel="0" collapsed="false">
      <c r="A108" s="1" t="s">
        <v>80</v>
      </c>
      <c r="B108" s="1" t="s">
        <v>324</v>
      </c>
      <c r="C108" s="1" t="n">
        <v>417</v>
      </c>
      <c r="D108" s="1" t="n">
        <f aca="false">IF(LEFT(B108,9)="Very high",100,IF(LEFT(B108,4)="High",80,IF(LEFT(B108,8)="Moderate",60,IF(LEFT(B108,3)="Low",40,IF(LEFT(B108,8)="Very low",20)))))</f>
        <v>20</v>
      </c>
      <c r="G108" s="1" t="s">
        <v>92</v>
      </c>
      <c r="H108" s="1" t="s">
        <v>324</v>
      </c>
      <c r="I108" s="1" t="n">
        <v>414</v>
      </c>
    </row>
    <row r="109" customFormat="false" ht="15.75" hidden="false" customHeight="true" outlineLevel="0" collapsed="false">
      <c r="A109" s="1" t="s">
        <v>155</v>
      </c>
      <c r="B109" s="1" t="s">
        <v>324</v>
      </c>
      <c r="C109" s="1" t="n">
        <v>417</v>
      </c>
      <c r="D109" s="1" t="n">
        <f aca="false">IF(LEFT(B109,9)="Very high",100,IF(LEFT(B109,4)="High",80,IF(LEFT(B109,8)="Moderate",60,IF(LEFT(B109,3)="Low",40,IF(LEFT(B109,8)="Very low",20)))))</f>
        <v>20</v>
      </c>
      <c r="G109" s="1" t="s">
        <v>252</v>
      </c>
      <c r="H109" s="1" t="s">
        <v>324</v>
      </c>
      <c r="I109" s="1" t="n">
        <v>413</v>
      </c>
    </row>
    <row r="110" customFormat="false" ht="15.75" hidden="false" customHeight="true" outlineLevel="0" collapsed="false">
      <c r="A110" s="1" t="s">
        <v>145</v>
      </c>
      <c r="B110" s="1" t="s">
        <v>324</v>
      </c>
      <c r="C110" s="1" t="n">
        <v>413</v>
      </c>
      <c r="D110" s="1" t="n">
        <f aca="false">IF(LEFT(B110,9)="Very high",100,IF(LEFT(B110,4)="High",80,IF(LEFT(B110,8)="Moderate",60,IF(LEFT(B110,3)="Low",40,IF(LEFT(B110,8)="Very low",20)))))</f>
        <v>20</v>
      </c>
      <c r="G110" s="1" t="s">
        <v>98</v>
      </c>
      <c r="H110" s="1" t="s">
        <v>324</v>
      </c>
      <c r="I110" s="1" t="n">
        <v>412</v>
      </c>
    </row>
    <row r="111" customFormat="false" ht="15.75" hidden="false" customHeight="true" outlineLevel="0" collapsed="false">
      <c r="A111" s="1" t="s">
        <v>98</v>
      </c>
      <c r="B111" s="1" t="s">
        <v>324</v>
      </c>
      <c r="C111" s="1" t="n">
        <v>409</v>
      </c>
      <c r="D111" s="1" t="n">
        <f aca="false">IF(LEFT(B111,9)="Very high",100,IF(LEFT(B111,4)="High",80,IF(LEFT(B111,8)="Moderate",60,IF(LEFT(B111,3)="Low",40,IF(LEFT(B111,8)="Very low",20)))))</f>
        <v>20</v>
      </c>
      <c r="G111" s="1" t="s">
        <v>145</v>
      </c>
      <c r="H111" s="1" t="s">
        <v>324</v>
      </c>
      <c r="I111" s="1" t="n">
        <v>409</v>
      </c>
    </row>
    <row r="112" customFormat="false" ht="15.75" hidden="false" customHeight="true" outlineLevel="0" collapsed="false">
      <c r="A112" s="1" t="s">
        <v>271</v>
      </c>
      <c r="B112" s="1" t="s">
        <v>324</v>
      </c>
      <c r="C112" s="1" t="n">
        <v>408</v>
      </c>
      <c r="D112" s="1" t="n">
        <f aca="false">IF(LEFT(B112,9)="Very high",100,IF(LEFT(B112,4)="High",80,IF(LEFT(B112,8)="Moderate",60,IF(LEFT(B112,3)="Low",40,IF(LEFT(B112,8)="Very low",20)))))</f>
        <v>20</v>
      </c>
      <c r="G112" s="1" t="s">
        <v>152</v>
      </c>
      <c r="H112" s="1" t="s">
        <v>324</v>
      </c>
      <c r="I112" s="1" t="n">
        <v>408</v>
      </c>
    </row>
    <row r="113" customFormat="false" ht="15.75" hidden="false" customHeight="true" outlineLevel="0" collapsed="false">
      <c r="A113" s="1" t="s">
        <v>37</v>
      </c>
      <c r="B113" s="1" t="s">
        <v>324</v>
      </c>
      <c r="C113" s="1" t="n">
        <v>407</v>
      </c>
      <c r="D113" s="1" t="n">
        <f aca="false">IF(LEFT(B113,9)="Very high",100,IF(LEFT(B113,4)="High",80,IF(LEFT(B113,8)="Moderate",60,IF(LEFT(B113,3)="Low",40,IF(LEFT(B113,8)="Very low",20)))))</f>
        <v>20</v>
      </c>
      <c r="G113" s="1" t="s">
        <v>163</v>
      </c>
      <c r="H113" s="1" t="s">
        <v>324</v>
      </c>
      <c r="I113" s="1" t="n">
        <v>405</v>
      </c>
    </row>
    <row r="114" customFormat="false" ht="15.75" hidden="false" customHeight="true" outlineLevel="0" collapsed="false">
      <c r="A114" s="1" t="s">
        <v>92</v>
      </c>
      <c r="B114" s="1" t="s">
        <v>324</v>
      </c>
      <c r="C114" s="1" t="n">
        <v>406</v>
      </c>
      <c r="D114" s="1" t="n">
        <f aca="false">IF(LEFT(B114,9)="Very high",100,IF(LEFT(B114,4)="High",80,IF(LEFT(B114,8)="Moderate",60,IF(LEFT(B114,3)="Low",40,IF(LEFT(B114,8)="Very low",20)))))</f>
        <v>20</v>
      </c>
      <c r="G114" s="1" t="s">
        <v>155</v>
      </c>
      <c r="H114" s="1" t="s">
        <v>324</v>
      </c>
      <c r="I114" s="1" t="n">
        <v>401</v>
      </c>
    </row>
    <row r="115" customFormat="false" ht="15.75" hidden="false" customHeight="true" outlineLevel="0" collapsed="false">
      <c r="A115" s="1" t="s">
        <v>252</v>
      </c>
      <c r="B115" s="1" t="s">
        <v>324</v>
      </c>
      <c r="C115" s="1" t="n">
        <v>406</v>
      </c>
      <c r="D115" s="1" t="n">
        <f aca="false">IF(LEFT(B115,9)="Very high",100,IF(LEFT(B115,4)="High",80,IF(LEFT(B115,8)="Moderate",60,IF(LEFT(B115,3)="Low",40,IF(LEFT(B115,8)="Very low",20)))))</f>
        <v>20</v>
      </c>
      <c r="G115" s="1" t="s">
        <v>325</v>
      </c>
      <c r="H115" s="1" t="s">
        <v>324</v>
      </c>
      <c r="I115" s="1" t="n">
        <v>399</v>
      </c>
    </row>
    <row r="116" customFormat="false" ht="15.75" hidden="false" customHeight="true" outlineLevel="0" collapsed="false">
      <c r="A116" s="1" t="s">
        <v>44</v>
      </c>
      <c r="B116" s="1" t="s">
        <v>324</v>
      </c>
      <c r="C116" s="1" t="n">
        <v>404</v>
      </c>
      <c r="D116" s="1" t="n">
        <f aca="false">IF(LEFT(B116,9)="Very high",100,IF(LEFT(B116,4)="High",80,IF(LEFT(B116,8)="Moderate",60,IF(LEFT(B116,3)="Low",40,IF(LEFT(B116,8)="Very low",20)))))</f>
        <v>20</v>
      </c>
      <c r="G116" s="1" t="s">
        <v>210</v>
      </c>
      <c r="H116" s="1" t="s">
        <v>324</v>
      </c>
      <c r="I116" s="1" t="n">
        <v>399</v>
      </c>
    </row>
    <row r="117" customFormat="false" ht="15.75" hidden="false" customHeight="true" outlineLevel="0" collapsed="false">
      <c r="A117" s="1" t="s">
        <v>86</v>
      </c>
      <c r="B117" s="1" t="s">
        <v>324</v>
      </c>
      <c r="C117" s="1" t="n">
        <v>402</v>
      </c>
      <c r="D117" s="1" t="n">
        <f aca="false">IF(LEFT(B117,9)="Very high",100,IF(LEFT(B117,4)="High",80,IF(LEFT(B117,8)="Moderate",60,IF(LEFT(B117,3)="Low",40,IF(LEFT(B117,8)="Very low",20)))))</f>
        <v>20</v>
      </c>
      <c r="G117" s="1" t="s">
        <v>134</v>
      </c>
      <c r="H117" s="1" t="s">
        <v>324</v>
      </c>
      <c r="I117" s="1" t="n">
        <v>394</v>
      </c>
    </row>
    <row r="118" customFormat="false" ht="15.75" hidden="false" customHeight="true" outlineLevel="0" collapsed="false">
      <c r="A118" s="1" t="s">
        <v>134</v>
      </c>
      <c r="B118" s="1" t="s">
        <v>324</v>
      </c>
      <c r="C118" s="1" t="n">
        <v>402</v>
      </c>
      <c r="D118" s="1" t="n">
        <f aca="false">IF(LEFT(B118,9)="Very high",100,IF(LEFT(B118,4)="High",80,IF(LEFT(B118,8)="Moderate",60,IF(LEFT(B118,3)="Low",40,IF(LEFT(B118,8)="Very low",20)))))</f>
        <v>20</v>
      </c>
    </row>
    <row r="119" customFormat="false" ht="15.75" hidden="false" customHeight="true" outlineLevel="0" collapsed="false">
      <c r="A119" s="1" t="s">
        <v>125</v>
      </c>
      <c r="B119" s="1" t="s">
        <v>324</v>
      </c>
      <c r="C119" s="1" t="n">
        <v>400</v>
      </c>
      <c r="D119" s="1" t="n">
        <f aca="false">IF(LEFT(B119,9)="Very high",100,IF(LEFT(B119,4)="High",80,IF(LEFT(B119,8)="Moderate",60,IF(LEFT(B119,3)="Low",40,IF(LEFT(B119,8)="Very low",20)))))</f>
        <v>20</v>
      </c>
    </row>
    <row r="120" customFormat="false" ht="15.75" hidden="false" customHeight="true" outlineLevel="0" collapsed="false">
      <c r="A120" s="1" t="s">
        <v>210</v>
      </c>
      <c r="B120" s="1" t="s">
        <v>324</v>
      </c>
      <c r="C120" s="1" t="n">
        <v>398</v>
      </c>
      <c r="D120" s="1" t="n">
        <f aca="false">IF(LEFT(B120,9)="Very high",100,IF(LEFT(B120,4)="High",80,IF(LEFT(B120,8)="Moderate",60,IF(LEFT(B120,3)="Low",40,IF(LEFT(B120,8)="Very low",20)))))</f>
        <v>20</v>
      </c>
    </row>
    <row r="121" customFormat="false" ht="15.75" hidden="false" customHeight="true" outlineLevel="0" collapsed="false">
      <c r="A121" s="1" t="s">
        <v>285</v>
      </c>
      <c r="B121" s="1" t="s">
        <v>324</v>
      </c>
      <c r="C121" s="1" t="n">
        <v>397</v>
      </c>
      <c r="D121" s="1" t="n">
        <f aca="false">IF(LEFT(B121,9)="Very high",100,IF(LEFT(B121,4)="High",80,IF(LEFT(B121,8)="Moderate",60,IF(LEFT(B121,3)="Low",40,IF(LEFT(B121,8)="Very low",20)))))</f>
        <v>20</v>
      </c>
    </row>
    <row r="122" customFormat="false" ht="15.75" hidden="false" customHeight="true" outlineLevel="0" collapsed="false">
      <c r="A122" s="1" t="s">
        <v>163</v>
      </c>
      <c r="B122" s="1" t="s">
        <v>324</v>
      </c>
      <c r="C122" s="1" t="n">
        <v>395</v>
      </c>
      <c r="D122" s="1" t="n">
        <f aca="false">IF(LEFT(B122,9)="Very high",100,IF(LEFT(B122,4)="High",80,IF(LEFT(B122,8)="Moderate",60,IF(LEFT(B122,3)="Low",40,IF(LEFT(B122,8)="Very low",20)))))</f>
        <v>20</v>
      </c>
    </row>
    <row r="123" customFormat="false" ht="15.75" hidden="false" customHeight="true" outlineLevel="0" collapsed="false">
      <c r="A123" s="1" t="s">
        <v>133</v>
      </c>
      <c r="B123" s="1" t="s">
        <v>324</v>
      </c>
      <c r="C123" s="1" t="n">
        <v>393</v>
      </c>
      <c r="D123" s="1" t="n">
        <f aca="false">IF(LEFT(B123,9)="Very high",100,IF(LEFT(B123,4)="High",80,IF(LEFT(B123,8)="Moderate",60,IF(LEFT(B123,3)="Low",40,IF(LEFT(B123,8)="Very low",20)))))</f>
        <v>20</v>
      </c>
    </row>
    <row r="124" customFormat="false" ht="15.75" hidden="false" customHeight="true" outlineLevel="0" collapsed="false">
      <c r="A124" s="1" t="s">
        <v>152</v>
      </c>
      <c r="B124" s="1" t="s">
        <v>324</v>
      </c>
      <c r="C124" s="1" t="n">
        <v>390</v>
      </c>
      <c r="D124" s="1" t="n">
        <f aca="false">IF(LEFT(B124,9)="Very high",100,IF(LEFT(B124,4)="High",80,IF(LEFT(B124,8)="Moderate",60,IF(LEFT(B124,3)="Low",40,IF(LEFT(B124,8)="Very low",20)))))</f>
        <v>20</v>
      </c>
    </row>
    <row r="125" customFormat="false" ht="15.75" hidden="false" customHeight="true" outlineLevel="0" collapsed="false">
      <c r="A125" s="1" t="s">
        <v>15</v>
      </c>
      <c r="B125" s="1" t="s">
        <v>326</v>
      </c>
      <c r="C125" s="1" t="n">
        <v>609</v>
      </c>
      <c r="D125" s="1" t="n">
        <f aca="false">IF(LEFT(B125,9)="Very high",100,IF(LEFT(B125,4)="High",80,IF(LEFT(B125,8)="Moderate",60,IF(LEFT(B125,3)="Low",40,IF(LEFT(B125,8)="Very low",20)))))</f>
        <v>100</v>
      </c>
    </row>
    <row r="126" customFormat="false" ht="15.75" hidden="false" customHeight="true" outlineLevel="0" collapsed="false">
      <c r="A126" s="1" t="s">
        <v>13</v>
      </c>
      <c r="B126" s="1" t="s">
        <v>327</v>
      </c>
      <c r="C126" s="1" t="n">
        <v>576</v>
      </c>
      <c r="D126" s="1" t="n">
        <f aca="false">IF(LEFT(B126,9)="Very high",100,IF(LEFT(B126,4)="High",80,IF(LEFT(B126,8)="Moderate",60,IF(LEFT(B126,3)="Low",40,IF(LEFT(B126,8)="Very low",20)))))</f>
        <v>80</v>
      </c>
    </row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328</v>
      </c>
      <c r="C1" s="3" t="s">
        <v>329</v>
      </c>
      <c r="E1" s="2" t="s">
        <v>0</v>
      </c>
      <c r="F1" s="2" t="s">
        <v>330</v>
      </c>
      <c r="G1" s="3" t="s">
        <v>331</v>
      </c>
    </row>
    <row r="2" customFormat="false" ht="15.75" hidden="false" customHeight="true" outlineLevel="0" collapsed="false">
      <c r="A2" s="1" t="s">
        <v>63</v>
      </c>
      <c r="B2" s="1" t="n">
        <v>1</v>
      </c>
      <c r="E2" s="1" t="s">
        <v>73</v>
      </c>
      <c r="F2" s="1" t="n">
        <v>1</v>
      </c>
    </row>
    <row r="3" customFormat="false" ht="15.75" hidden="false" customHeight="true" outlineLevel="0" collapsed="false">
      <c r="A3" s="1" t="s">
        <v>73</v>
      </c>
      <c r="B3" s="1" t="n">
        <v>2</v>
      </c>
      <c r="E3" s="1" t="s">
        <v>70</v>
      </c>
      <c r="F3" s="1" t="n">
        <v>2</v>
      </c>
    </row>
    <row r="4" customFormat="false" ht="15.75" hidden="false" customHeight="true" outlineLevel="0" collapsed="false">
      <c r="A4" s="1" t="s">
        <v>102</v>
      </c>
      <c r="B4" s="1" t="n">
        <v>3</v>
      </c>
      <c r="E4" s="1" t="s">
        <v>86</v>
      </c>
      <c r="F4" s="1" t="n">
        <v>3</v>
      </c>
    </row>
    <row r="5" customFormat="false" ht="15.75" hidden="false" customHeight="true" outlineLevel="0" collapsed="false">
      <c r="A5" s="1" t="s">
        <v>105</v>
      </c>
      <c r="B5" s="1" t="n">
        <v>4</v>
      </c>
      <c r="E5" s="1" t="s">
        <v>91</v>
      </c>
      <c r="F5" s="1" t="n">
        <v>4</v>
      </c>
    </row>
    <row r="6" customFormat="false" ht="15.75" hidden="false" customHeight="true" outlineLevel="0" collapsed="false">
      <c r="A6" s="1" t="s">
        <v>91</v>
      </c>
      <c r="B6" s="1" t="n">
        <v>5</v>
      </c>
      <c r="E6" s="1" t="s">
        <v>33</v>
      </c>
      <c r="F6" s="1" t="n">
        <v>5</v>
      </c>
    </row>
    <row r="7" customFormat="false" ht="15.75" hidden="false" customHeight="true" outlineLevel="0" collapsed="false">
      <c r="A7" s="1" t="s">
        <v>86</v>
      </c>
      <c r="B7" s="1" t="n">
        <v>6</v>
      </c>
      <c r="E7" s="1" t="s">
        <v>41</v>
      </c>
      <c r="F7" s="1" t="n">
        <v>6</v>
      </c>
    </row>
    <row r="8" customFormat="false" ht="15.75" hidden="false" customHeight="true" outlineLevel="0" collapsed="false">
      <c r="A8" s="1" t="s">
        <v>70</v>
      </c>
      <c r="B8" s="1" t="n">
        <v>7</v>
      </c>
      <c r="E8" s="1" t="s">
        <v>54</v>
      </c>
      <c r="F8" s="1" t="n">
        <v>7</v>
      </c>
    </row>
    <row r="9" customFormat="false" ht="15.75" hidden="false" customHeight="true" outlineLevel="0" collapsed="false">
      <c r="A9" s="1" t="s">
        <v>82</v>
      </c>
      <c r="B9" s="1" t="n">
        <v>8</v>
      </c>
      <c r="E9" s="1" t="s">
        <v>24</v>
      </c>
      <c r="F9" s="1" t="n">
        <v>8</v>
      </c>
    </row>
    <row r="10" customFormat="false" ht="15.75" hidden="false" customHeight="true" outlineLevel="0" collapsed="false">
      <c r="A10" s="1" t="s">
        <v>100</v>
      </c>
      <c r="B10" s="1" t="n">
        <v>9</v>
      </c>
      <c r="E10" s="1" t="s">
        <v>17</v>
      </c>
      <c r="F10" s="1" t="n">
        <v>9</v>
      </c>
    </row>
    <row r="11" customFormat="false" ht="15.75" hidden="false" customHeight="true" outlineLevel="0" collapsed="false">
      <c r="A11" s="1" t="s">
        <v>59</v>
      </c>
      <c r="B11" s="1" t="n">
        <v>10</v>
      </c>
      <c r="E11" s="1" t="s">
        <v>53</v>
      </c>
      <c r="F11" s="1" t="n">
        <v>10</v>
      </c>
    </row>
    <row r="12" customFormat="false" ht="15.75" hidden="false" customHeight="true" outlineLevel="0" collapsed="false">
      <c r="A12" s="1" t="s">
        <v>41</v>
      </c>
      <c r="B12" s="1" t="n">
        <v>11</v>
      </c>
      <c r="E12" s="1" t="s">
        <v>20</v>
      </c>
      <c r="F12" s="1" t="n">
        <v>11</v>
      </c>
    </row>
    <row r="13" customFormat="false" ht="15.75" hidden="false" customHeight="true" outlineLevel="0" collapsed="false">
      <c r="A13" s="1" t="s">
        <v>37</v>
      </c>
      <c r="B13" s="1" t="n">
        <v>12</v>
      </c>
      <c r="E13" s="1" t="s">
        <v>15</v>
      </c>
      <c r="F13" s="1" t="n">
        <v>12</v>
      </c>
    </row>
    <row r="14" customFormat="false" ht="15.75" hidden="false" customHeight="true" outlineLevel="0" collapsed="false">
      <c r="A14" s="1" t="s">
        <v>97</v>
      </c>
      <c r="B14" s="1" t="n">
        <v>13</v>
      </c>
      <c r="E14" s="1" t="s">
        <v>68</v>
      </c>
      <c r="F14" s="1" t="n">
        <v>13</v>
      </c>
    </row>
    <row r="15" customFormat="false" ht="15.75" hidden="false" customHeight="true" outlineLevel="0" collapsed="false">
      <c r="A15" s="1" t="s">
        <v>112</v>
      </c>
      <c r="B15" s="1" t="n">
        <v>14</v>
      </c>
      <c r="E15" s="1" t="s">
        <v>43</v>
      </c>
      <c r="F15" s="1" t="n">
        <v>14</v>
      </c>
    </row>
    <row r="16" customFormat="false" ht="15.75" hidden="false" customHeight="true" outlineLevel="0" collapsed="false">
      <c r="A16" s="1" t="s">
        <v>54</v>
      </c>
      <c r="B16" s="1" t="n">
        <v>15</v>
      </c>
      <c r="E16" s="1" t="s">
        <v>44</v>
      </c>
      <c r="F16" s="1" t="n">
        <v>15</v>
      </c>
    </row>
    <row r="17" customFormat="false" ht="15.75" hidden="false" customHeight="true" outlineLevel="0" collapsed="false">
      <c r="A17" s="1" t="s">
        <v>33</v>
      </c>
      <c r="B17" s="1" t="n">
        <v>16</v>
      </c>
      <c r="E17" s="1" t="s">
        <v>34</v>
      </c>
      <c r="F17" s="1" t="n">
        <v>16</v>
      </c>
    </row>
    <row r="18" customFormat="false" ht="15.75" hidden="false" customHeight="true" outlineLevel="0" collapsed="false">
      <c r="A18" s="1" t="s">
        <v>45</v>
      </c>
      <c r="B18" s="1" t="n">
        <v>17</v>
      </c>
      <c r="E18" s="1" t="s">
        <v>13</v>
      </c>
      <c r="F18" s="1" t="n">
        <v>17</v>
      </c>
    </row>
    <row r="19" customFormat="false" ht="15.75" hidden="false" customHeight="true" outlineLevel="0" collapsed="false">
      <c r="A19" s="1" t="s">
        <v>39</v>
      </c>
      <c r="B19" s="1" t="n">
        <v>18</v>
      </c>
      <c r="E19" s="1" t="s">
        <v>62</v>
      </c>
      <c r="F19" s="1" t="n">
        <v>18</v>
      </c>
    </row>
    <row r="20" customFormat="false" ht="15.75" hidden="false" customHeight="true" outlineLevel="0" collapsed="false">
      <c r="A20" s="1" t="s">
        <v>61</v>
      </c>
      <c r="B20" s="1" t="n">
        <v>19</v>
      </c>
      <c r="E20" s="1" t="s">
        <v>31</v>
      </c>
      <c r="F20" s="1" t="n">
        <v>19</v>
      </c>
    </row>
    <row r="21" customFormat="false" ht="15.75" hidden="false" customHeight="true" outlineLevel="0" collapsed="false">
      <c r="A21" s="1" t="s">
        <v>20</v>
      </c>
      <c r="B21" s="1" t="n">
        <v>20</v>
      </c>
      <c r="E21" s="1" t="s">
        <v>30</v>
      </c>
      <c r="F21" s="1" t="n">
        <v>20</v>
      </c>
    </row>
    <row r="22" customFormat="false" ht="15.75" hidden="false" customHeight="true" outlineLevel="0" collapsed="false">
      <c r="A22" s="1" t="s">
        <v>35</v>
      </c>
      <c r="B22" s="1" t="n">
        <v>21</v>
      </c>
      <c r="E22" s="1" t="s">
        <v>23</v>
      </c>
      <c r="F22" s="1" t="n">
        <v>21</v>
      </c>
    </row>
    <row r="23" customFormat="false" ht="15.75" hidden="false" customHeight="true" outlineLevel="0" collapsed="false">
      <c r="A23" s="1" t="s">
        <v>19</v>
      </c>
      <c r="B23" s="1" t="n">
        <v>22</v>
      </c>
      <c r="E23" s="1" t="s">
        <v>51</v>
      </c>
      <c r="F23" s="1" t="n">
        <v>22</v>
      </c>
    </row>
    <row r="24" customFormat="false" ht="15.75" hidden="false" customHeight="true" outlineLevel="0" collapsed="false">
      <c r="A24" s="1" t="s">
        <v>53</v>
      </c>
      <c r="B24" s="1" t="n">
        <v>23</v>
      </c>
      <c r="E24" s="1" t="s">
        <v>21</v>
      </c>
      <c r="F24" s="1" t="n">
        <v>23</v>
      </c>
    </row>
    <row r="25" customFormat="false" ht="15.75" hidden="false" customHeight="true" outlineLevel="0" collapsed="false">
      <c r="A25" s="1" t="s">
        <v>68</v>
      </c>
      <c r="B25" s="1" t="n">
        <v>24</v>
      </c>
      <c r="E25" s="1" t="s">
        <v>40</v>
      </c>
      <c r="F25" s="1" t="n">
        <v>24</v>
      </c>
    </row>
    <row r="26" customFormat="false" ht="15.75" hidden="false" customHeight="true" outlineLevel="0" collapsed="false">
      <c r="A26" s="1" t="s">
        <v>44</v>
      </c>
      <c r="B26" s="1" t="n">
        <v>25</v>
      </c>
      <c r="E26" s="1" t="s">
        <v>18</v>
      </c>
      <c r="F26" s="1" t="n">
        <v>25</v>
      </c>
    </row>
    <row r="27" customFormat="false" ht="15.75" hidden="false" customHeight="true" outlineLevel="0" collapsed="false">
      <c r="A27" s="1" t="s">
        <v>96</v>
      </c>
      <c r="B27" s="1" t="n">
        <v>26</v>
      </c>
      <c r="E27" s="1" t="s">
        <v>12</v>
      </c>
      <c r="F27" s="1" t="n">
        <v>26</v>
      </c>
    </row>
    <row r="28" customFormat="false" ht="15.75" hidden="false" customHeight="true" outlineLevel="0" collapsed="false">
      <c r="A28" s="1" t="s">
        <v>26</v>
      </c>
      <c r="B28" s="1" t="n">
        <v>27</v>
      </c>
      <c r="E28" s="1" t="s">
        <v>47</v>
      </c>
      <c r="F28" s="1" t="n">
        <v>27</v>
      </c>
    </row>
    <row r="29" customFormat="false" ht="15.75" hidden="false" customHeight="true" outlineLevel="0" collapsed="false">
      <c r="A29" s="1" t="s">
        <v>17</v>
      </c>
      <c r="B29" s="1" t="n">
        <v>28</v>
      </c>
      <c r="E29" s="1" t="s">
        <v>25</v>
      </c>
      <c r="F29" s="1" t="n">
        <v>28</v>
      </c>
    </row>
    <row r="30" customFormat="false" ht="15.75" hidden="false" customHeight="true" outlineLevel="0" collapsed="false">
      <c r="A30" s="1" t="s">
        <v>24</v>
      </c>
      <c r="B30" s="1" t="n">
        <v>29</v>
      </c>
      <c r="E30" s="1" t="s">
        <v>28</v>
      </c>
      <c r="F30" s="1" t="n">
        <v>29</v>
      </c>
    </row>
    <row r="31" customFormat="false" ht="15.75" hidden="false" customHeight="true" outlineLevel="0" collapsed="false">
      <c r="A31" s="1" t="s">
        <v>15</v>
      </c>
      <c r="B31" s="1" t="n">
        <v>30</v>
      </c>
      <c r="E31" s="1" t="s">
        <v>29</v>
      </c>
      <c r="F31" s="1" t="n">
        <v>30</v>
      </c>
    </row>
    <row r="32" customFormat="false" ht="15.75" hidden="false" customHeight="true" outlineLevel="0" collapsed="false">
      <c r="A32" s="1" t="s">
        <v>30</v>
      </c>
      <c r="B32" s="1" t="n">
        <v>31</v>
      </c>
      <c r="E32" s="1" t="s">
        <v>16</v>
      </c>
      <c r="F32" s="1" t="n">
        <v>31</v>
      </c>
    </row>
    <row r="33" customFormat="false" ht="15.75" hidden="false" customHeight="true" outlineLevel="0" collapsed="false">
      <c r="A33" s="1" t="s">
        <v>46</v>
      </c>
      <c r="B33" s="1" t="n">
        <v>32</v>
      </c>
    </row>
    <row r="34" customFormat="false" ht="15.75" hidden="false" customHeight="true" outlineLevel="0" collapsed="false">
      <c r="A34" s="1" t="s">
        <v>43</v>
      </c>
      <c r="B34" s="1" t="n">
        <v>33</v>
      </c>
    </row>
    <row r="35" customFormat="false" ht="15.75" hidden="false" customHeight="true" outlineLevel="0" collapsed="false">
      <c r="A35" s="1" t="s">
        <v>34</v>
      </c>
      <c r="B35" s="1" t="n">
        <v>34</v>
      </c>
    </row>
    <row r="36" customFormat="false" ht="15.75" hidden="false" customHeight="true" outlineLevel="0" collapsed="false">
      <c r="A36" s="1" t="s">
        <v>40</v>
      </c>
      <c r="B36" s="1" t="n">
        <v>35</v>
      </c>
    </row>
    <row r="37" customFormat="false" ht="15.75" hidden="false" customHeight="true" outlineLevel="0" collapsed="false">
      <c r="A37" s="1" t="s">
        <v>38</v>
      </c>
      <c r="B37" s="1" t="n">
        <v>36</v>
      </c>
    </row>
    <row r="38" customFormat="false" ht="15.75" hidden="false" customHeight="true" outlineLevel="0" collapsed="false">
      <c r="A38" s="1" t="s">
        <v>51</v>
      </c>
      <c r="B38" s="1" t="n">
        <v>37</v>
      </c>
    </row>
    <row r="39" customFormat="false" ht="15.75" hidden="false" customHeight="true" outlineLevel="0" collapsed="false">
      <c r="A39" s="1" t="s">
        <v>13</v>
      </c>
      <c r="B39" s="1" t="n">
        <v>38</v>
      </c>
    </row>
    <row r="40" customFormat="false" ht="15.75" hidden="false" customHeight="true" outlineLevel="0" collapsed="false">
      <c r="A40" s="1" t="s">
        <v>31</v>
      </c>
      <c r="B40" s="1" t="n">
        <v>39</v>
      </c>
    </row>
    <row r="41" customFormat="false" ht="15.75" hidden="false" customHeight="true" outlineLevel="0" collapsed="false">
      <c r="A41" s="1" t="s">
        <v>62</v>
      </c>
      <c r="B41" s="1" t="n">
        <v>40</v>
      </c>
    </row>
    <row r="42" customFormat="false" ht="15.75" hidden="false" customHeight="true" outlineLevel="0" collapsed="false">
      <c r="A42" s="1" t="s">
        <v>21</v>
      </c>
      <c r="B42" s="1" t="n">
        <v>41</v>
      </c>
    </row>
    <row r="43" customFormat="false" ht="15.75" hidden="false" customHeight="true" outlineLevel="0" collapsed="false">
      <c r="A43" s="1" t="s">
        <v>23</v>
      </c>
      <c r="B43" s="1" t="n">
        <v>42</v>
      </c>
    </row>
    <row r="44" customFormat="false" ht="15.75" hidden="false" customHeight="true" outlineLevel="0" collapsed="false">
      <c r="A44" s="1" t="s">
        <v>81</v>
      </c>
      <c r="B44" s="1" t="n">
        <v>43</v>
      </c>
    </row>
    <row r="45" customFormat="false" ht="15.75" hidden="false" customHeight="true" outlineLevel="0" collapsed="false">
      <c r="A45" s="1" t="s">
        <v>55</v>
      </c>
      <c r="B45" s="1" t="n">
        <v>44</v>
      </c>
    </row>
    <row r="46" customFormat="false" ht="15.75" hidden="false" customHeight="true" outlineLevel="0" collapsed="false">
      <c r="A46" s="1" t="s">
        <v>18</v>
      </c>
      <c r="B46" s="1" t="n">
        <v>45</v>
      </c>
    </row>
    <row r="47" customFormat="false" ht="15.75" hidden="false" customHeight="true" outlineLevel="0" collapsed="false">
      <c r="A47" s="1" t="s">
        <v>12</v>
      </c>
      <c r="B47" s="1" t="n">
        <v>46</v>
      </c>
    </row>
    <row r="48" customFormat="false" ht="15.75" hidden="false" customHeight="true" outlineLevel="0" collapsed="false">
      <c r="A48" s="1" t="s">
        <v>47</v>
      </c>
      <c r="B48" s="1" t="n">
        <v>47</v>
      </c>
    </row>
    <row r="49" customFormat="false" ht="15.75" hidden="false" customHeight="true" outlineLevel="0" collapsed="false">
      <c r="A49" s="1" t="s">
        <v>29</v>
      </c>
      <c r="B49" s="1" t="n">
        <v>48</v>
      </c>
    </row>
    <row r="50" customFormat="false" ht="15.75" hidden="false" customHeight="true" outlineLevel="0" collapsed="false">
      <c r="A50" s="1" t="s">
        <v>28</v>
      </c>
      <c r="B50" s="1" t="n">
        <v>49</v>
      </c>
    </row>
    <row r="51" customFormat="false" ht="15.75" hidden="false" customHeight="true" outlineLevel="0" collapsed="false">
      <c r="A51" s="1" t="s">
        <v>32</v>
      </c>
      <c r="B51" s="1" t="n">
        <v>50</v>
      </c>
    </row>
    <row r="52" customFormat="false" ht="15.75" hidden="false" customHeight="true" outlineLevel="0" collapsed="false">
      <c r="A52" s="1" t="s">
        <v>25</v>
      </c>
      <c r="B52" s="1" t="n">
        <v>51</v>
      </c>
    </row>
    <row r="53" customFormat="false" ht="15.75" hidden="false" customHeight="true" outlineLevel="0" collapsed="false">
      <c r="A53" s="1" t="s">
        <v>16</v>
      </c>
      <c r="B53" s="1" t="n">
        <v>52</v>
      </c>
    </row>
    <row r="54" customFormat="false" ht="15.75" hidden="false" customHeight="true" outlineLevel="0" collapsed="false">
      <c r="A54" s="1" t="s">
        <v>27</v>
      </c>
      <c r="B54" s="1" t="n">
        <v>53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4" t="s">
        <v>0</v>
      </c>
      <c r="B1" s="4" t="s">
        <v>332</v>
      </c>
      <c r="C1" s="5" t="s">
        <v>333</v>
      </c>
    </row>
    <row r="2" customFormat="false" ht="15.75" hidden="false" customHeight="true" outlineLevel="0" collapsed="false">
      <c r="A2" s="5" t="s">
        <v>59</v>
      </c>
      <c r="B2" s="5" t="n">
        <v>1</v>
      </c>
      <c r="C2" s="5" t="s">
        <v>334</v>
      </c>
    </row>
    <row r="3" customFormat="false" ht="15.75" hidden="false" customHeight="true" outlineLevel="0" collapsed="false">
      <c r="A3" s="5" t="s">
        <v>35</v>
      </c>
      <c r="B3" s="5" t="n">
        <v>2</v>
      </c>
    </row>
    <row r="4" customFormat="false" ht="15.75" hidden="false" customHeight="true" outlineLevel="0" collapsed="false">
      <c r="A4" s="5" t="s">
        <v>43</v>
      </c>
      <c r="B4" s="5" t="n">
        <v>3</v>
      </c>
    </row>
    <row r="5" customFormat="false" ht="15.75" hidden="false" customHeight="true" outlineLevel="0" collapsed="false">
      <c r="A5" s="5" t="s">
        <v>12</v>
      </c>
      <c r="B5" s="5" t="n">
        <v>4</v>
      </c>
    </row>
    <row r="6" customFormat="false" ht="15.75" hidden="false" customHeight="true" outlineLevel="0" collapsed="false">
      <c r="A6" s="5" t="s">
        <v>41</v>
      </c>
      <c r="B6" s="5" t="n">
        <v>5</v>
      </c>
    </row>
    <row r="7" customFormat="false" ht="15.75" hidden="false" customHeight="true" outlineLevel="0" collapsed="false">
      <c r="A7" s="5" t="s">
        <v>86</v>
      </c>
      <c r="B7" s="5" t="n">
        <v>6</v>
      </c>
    </row>
    <row r="8" customFormat="false" ht="15.75" hidden="false" customHeight="true" outlineLevel="0" collapsed="false">
      <c r="A8" s="5" t="s">
        <v>16</v>
      </c>
      <c r="B8" s="5" t="n">
        <v>7</v>
      </c>
    </row>
    <row r="9" customFormat="false" ht="15.75" hidden="false" customHeight="true" outlineLevel="0" collapsed="false">
      <c r="A9" s="5" t="s">
        <v>14</v>
      </c>
      <c r="B9" s="5" t="n">
        <v>8</v>
      </c>
    </row>
    <row r="10" customFormat="false" ht="15.75" hidden="false" customHeight="true" outlineLevel="0" collapsed="false">
      <c r="A10" s="5" t="s">
        <v>20</v>
      </c>
      <c r="B10" s="5" t="n">
        <v>9</v>
      </c>
    </row>
    <row r="11" customFormat="false" ht="15.75" hidden="false" customHeight="true" outlineLevel="0" collapsed="false">
      <c r="A11" s="5" t="s">
        <v>28</v>
      </c>
      <c r="B11" s="5" t="n">
        <v>10</v>
      </c>
    </row>
    <row r="12" customFormat="false" ht="15.75" hidden="false" customHeight="true" outlineLevel="0" collapsed="false">
      <c r="A12" s="5" t="s">
        <v>24</v>
      </c>
      <c r="B12" s="5" t="n">
        <v>11</v>
      </c>
    </row>
    <row r="13" customFormat="false" ht="15.75" hidden="false" customHeight="true" outlineLevel="0" collapsed="false">
      <c r="A13" s="5" t="s">
        <v>91</v>
      </c>
      <c r="B13" s="5" t="n">
        <v>12</v>
      </c>
    </row>
    <row r="14" customFormat="false" ht="15.75" hidden="false" customHeight="true" outlineLevel="0" collapsed="false">
      <c r="A14" s="5" t="s">
        <v>54</v>
      </c>
      <c r="B14" s="5" t="n">
        <v>13</v>
      </c>
    </row>
    <row r="15" customFormat="false" ht="15.75" hidden="false" customHeight="true" outlineLevel="0" collapsed="false">
      <c r="A15" s="5" t="s">
        <v>29</v>
      </c>
      <c r="B15" s="5" t="n">
        <v>14</v>
      </c>
    </row>
    <row r="16" customFormat="false" ht="15.75" hidden="false" customHeight="true" outlineLevel="0" collapsed="false">
      <c r="A16" s="5" t="s">
        <v>62</v>
      </c>
      <c r="B16" s="5" t="n">
        <v>15</v>
      </c>
    </row>
    <row r="17" customFormat="false" ht="15.75" hidden="false" customHeight="true" outlineLevel="0" collapsed="false">
      <c r="A17" s="5" t="s">
        <v>112</v>
      </c>
      <c r="B17" s="5" t="n">
        <v>16</v>
      </c>
    </row>
    <row r="18" customFormat="false" ht="15.75" hidden="false" customHeight="true" outlineLevel="0" collapsed="false">
      <c r="A18" s="5" t="s">
        <v>32</v>
      </c>
      <c r="B18" s="5" t="n">
        <v>17</v>
      </c>
    </row>
    <row r="19" customFormat="false" ht="15.75" hidden="false" customHeight="true" outlineLevel="0" collapsed="false">
      <c r="A19" s="5" t="s">
        <v>31</v>
      </c>
      <c r="B19" s="5" t="n">
        <v>18</v>
      </c>
    </row>
    <row r="20" customFormat="false" ht="15.75" hidden="false" customHeight="true" outlineLevel="0" collapsed="false">
      <c r="A20" s="5" t="s">
        <v>73</v>
      </c>
      <c r="B20" s="5" t="n">
        <v>19</v>
      </c>
    </row>
    <row r="21" customFormat="false" ht="15.75" hidden="false" customHeight="true" outlineLevel="0" collapsed="false">
      <c r="A21" s="5" t="s">
        <v>34</v>
      </c>
      <c r="B21" s="5" t="n">
        <v>20</v>
      </c>
    </row>
    <row r="22" customFormat="false" ht="15.75" hidden="false" customHeight="true" outlineLevel="0" collapsed="false">
      <c r="A22" s="5" t="s">
        <v>21</v>
      </c>
      <c r="B22" s="5" t="n">
        <v>21</v>
      </c>
    </row>
    <row r="23" customFormat="false" ht="15.75" hidden="false" customHeight="true" outlineLevel="0" collapsed="false">
      <c r="A23" s="5" t="s">
        <v>85</v>
      </c>
      <c r="B23" s="5" t="n">
        <v>22</v>
      </c>
    </row>
    <row r="24" customFormat="false" ht="15.75" hidden="false" customHeight="true" outlineLevel="0" collapsed="false">
      <c r="A24" s="5" t="s">
        <v>40</v>
      </c>
      <c r="B24" s="5" t="n">
        <v>23</v>
      </c>
    </row>
    <row r="25" customFormat="false" ht="15.75" hidden="false" customHeight="true" outlineLevel="0" collapsed="false">
      <c r="A25" s="5" t="s">
        <v>63</v>
      </c>
      <c r="B25" s="5" t="n">
        <v>24</v>
      </c>
    </row>
    <row r="26" customFormat="false" ht="15.75" hidden="false" customHeight="true" outlineLevel="0" collapsed="false">
      <c r="A26" s="5" t="s">
        <v>18</v>
      </c>
      <c r="B26" s="5" t="n">
        <v>25</v>
      </c>
    </row>
    <row r="27" customFormat="false" ht="15.75" hidden="false" customHeight="true" outlineLevel="0" collapsed="false">
      <c r="A27" s="5" t="s">
        <v>71</v>
      </c>
      <c r="B27" s="5" t="n">
        <v>26</v>
      </c>
    </row>
    <row r="28" customFormat="false" ht="15.75" hidden="false" customHeight="true" outlineLevel="0" collapsed="false">
      <c r="A28" s="5" t="s">
        <v>105</v>
      </c>
      <c r="B28" s="5" t="n">
        <v>27</v>
      </c>
    </row>
    <row r="29" customFormat="false" ht="15.75" hidden="false" customHeight="true" outlineLevel="0" collapsed="false">
      <c r="A29" s="5" t="s">
        <v>52</v>
      </c>
      <c r="B29" s="5" t="n">
        <v>28</v>
      </c>
    </row>
    <row r="30" customFormat="false" ht="15.75" hidden="false" customHeight="true" outlineLevel="0" collapsed="false">
      <c r="A30" s="5" t="s">
        <v>53</v>
      </c>
      <c r="B30" s="5" t="n">
        <v>29</v>
      </c>
    </row>
    <row r="31" customFormat="false" ht="15.75" hidden="false" customHeight="true" outlineLevel="0" collapsed="false">
      <c r="A31" s="5" t="s">
        <v>94</v>
      </c>
      <c r="B31" s="5" t="n">
        <v>30</v>
      </c>
    </row>
    <row r="32" customFormat="false" ht="15.75" hidden="false" customHeight="true" outlineLevel="0" collapsed="false">
      <c r="A32" s="5" t="s">
        <v>81</v>
      </c>
      <c r="B32" s="5" t="n">
        <v>31</v>
      </c>
    </row>
    <row r="33" customFormat="false" ht="15.75" hidden="false" customHeight="true" outlineLevel="0" collapsed="false">
      <c r="A33" s="5" t="s">
        <v>68</v>
      </c>
      <c r="B33" s="5" t="n">
        <v>32</v>
      </c>
    </row>
    <row r="34" customFormat="false" ht="15.75" hidden="false" customHeight="true" outlineLevel="0" collapsed="false">
      <c r="A34" s="5" t="s">
        <v>15</v>
      </c>
      <c r="B34" s="5" t="n">
        <v>33</v>
      </c>
    </row>
    <row r="35" customFormat="false" ht="15.75" hidden="false" customHeight="true" outlineLevel="0" collapsed="false">
      <c r="A35" s="5" t="s">
        <v>102</v>
      </c>
      <c r="B35" s="5" t="n">
        <v>34</v>
      </c>
    </row>
    <row r="36" customFormat="false" ht="15.75" hidden="false" customHeight="true" outlineLevel="0" collapsed="false">
      <c r="A36" s="5" t="s">
        <v>45</v>
      </c>
      <c r="B36" s="5" t="n">
        <v>35</v>
      </c>
    </row>
    <row r="37" customFormat="false" ht="15.75" hidden="false" customHeight="true" outlineLevel="0" collapsed="false">
      <c r="A37" s="5" t="s">
        <v>97</v>
      </c>
      <c r="B37" s="5" t="n">
        <v>36</v>
      </c>
    </row>
    <row r="38" customFormat="false" ht="15.75" hidden="false" customHeight="true" outlineLevel="0" collapsed="false">
      <c r="A38" s="5" t="s">
        <v>109</v>
      </c>
      <c r="B38" s="5" t="n">
        <v>37</v>
      </c>
    </row>
    <row r="39" customFormat="false" ht="15.75" hidden="false" customHeight="true" outlineLevel="0" collapsed="false">
      <c r="A39" s="5" t="s">
        <v>87</v>
      </c>
      <c r="B39" s="5" t="n">
        <v>38</v>
      </c>
    </row>
    <row r="40" customFormat="false" ht="15.75" hidden="false" customHeight="true" outlineLevel="0" collapsed="false">
      <c r="A40" s="5" t="s">
        <v>82</v>
      </c>
      <c r="B40" s="5" t="n">
        <v>39</v>
      </c>
    </row>
    <row r="41" customFormat="false" ht="15.75" hidden="false" customHeight="true" outlineLevel="0" collapsed="false">
      <c r="A41" s="5" t="s">
        <v>13</v>
      </c>
      <c r="B41" s="5" t="n">
        <v>40</v>
      </c>
    </row>
    <row r="42" customFormat="false" ht="15.75" hidden="false" customHeight="true" outlineLevel="0" collapsed="false">
      <c r="A42" s="5" t="s">
        <v>55</v>
      </c>
      <c r="B42" s="5" t="n">
        <v>41</v>
      </c>
    </row>
    <row r="43" customFormat="false" ht="15.75" hidden="false" customHeight="true" outlineLevel="0" collapsed="false">
      <c r="A43" s="5" t="s">
        <v>65</v>
      </c>
      <c r="B43" s="5" t="n">
        <v>42</v>
      </c>
    </row>
    <row r="44" customFormat="false" ht="15.75" hidden="false" customHeight="true" outlineLevel="0" collapsed="false">
      <c r="A44" s="5" t="s">
        <v>51</v>
      </c>
      <c r="B44" s="5" t="n">
        <v>43</v>
      </c>
    </row>
    <row r="45" customFormat="false" ht="15.75" hidden="false" customHeight="true" outlineLevel="0" collapsed="false">
      <c r="A45" s="5" t="s">
        <v>70</v>
      </c>
      <c r="B45" s="5" t="n">
        <v>44</v>
      </c>
    </row>
    <row r="46" customFormat="false" ht="15.75" hidden="false" customHeight="true" outlineLevel="0" collapsed="false">
      <c r="A46" s="5" t="s">
        <v>23</v>
      </c>
      <c r="B46" s="5" t="n">
        <v>45</v>
      </c>
    </row>
    <row r="47" customFormat="false" ht="15.75" hidden="false" customHeight="true" outlineLevel="0" collapsed="false">
      <c r="A47" s="5" t="s">
        <v>61</v>
      </c>
      <c r="B47" s="5" t="n">
        <v>46</v>
      </c>
    </row>
    <row r="48" customFormat="false" ht="15.75" hidden="false" customHeight="true" outlineLevel="0" collapsed="false">
      <c r="A48" s="5" t="s">
        <v>30</v>
      </c>
      <c r="B48" s="5" t="n">
        <v>47</v>
      </c>
    </row>
    <row r="49" customFormat="false" ht="15.75" hidden="false" customHeight="true" outlineLevel="0" collapsed="false">
      <c r="A49" s="5" t="s">
        <v>96</v>
      </c>
      <c r="B49" s="5" t="n">
        <v>48</v>
      </c>
    </row>
    <row r="50" customFormat="false" ht="15.75" hidden="false" customHeight="true" outlineLevel="0" collapsed="false">
      <c r="A50" s="5" t="s">
        <v>100</v>
      </c>
      <c r="B50" s="5" t="n">
        <v>49</v>
      </c>
    </row>
    <row r="51" customFormat="false" ht="15.75" hidden="false" customHeight="true" outlineLevel="0" collapsed="false">
      <c r="A51" s="5" t="s">
        <v>25</v>
      </c>
      <c r="B51" s="5" t="n">
        <v>50</v>
      </c>
    </row>
    <row r="52" customFormat="false" ht="15.75" hidden="false" customHeight="true" outlineLevel="0" collapsed="false">
      <c r="A52" s="5" t="s">
        <v>17</v>
      </c>
      <c r="B52" s="5" t="n">
        <v>51</v>
      </c>
    </row>
    <row r="53" customFormat="false" ht="15.75" hidden="false" customHeight="true" outlineLevel="0" collapsed="false">
      <c r="A53" s="5" t="s">
        <v>88</v>
      </c>
      <c r="B53" s="5" t="n">
        <v>52</v>
      </c>
    </row>
    <row r="54" customFormat="false" ht="15.75" hidden="false" customHeight="true" outlineLevel="0" collapsed="false">
      <c r="A54" s="5" t="s">
        <v>47</v>
      </c>
      <c r="B54" s="5" t="n">
        <v>53</v>
      </c>
    </row>
    <row r="55" customFormat="false" ht="15.75" hidden="false" customHeight="true" outlineLevel="0" collapsed="false">
      <c r="A55" s="5" t="s">
        <v>58</v>
      </c>
      <c r="B55" s="5" t="n">
        <v>54</v>
      </c>
    </row>
    <row r="56" customFormat="false" ht="15.75" hidden="false" customHeight="true" outlineLevel="0" collapsed="false">
      <c r="A56" s="5" t="s">
        <v>49</v>
      </c>
      <c r="B56" s="5" t="n">
        <v>55</v>
      </c>
    </row>
    <row r="57" customFormat="false" ht="15.75" hidden="false" customHeight="true" outlineLevel="0" collapsed="false">
      <c r="A57" s="5" t="s">
        <v>60</v>
      </c>
      <c r="B57" s="5" t="n">
        <v>56</v>
      </c>
    </row>
    <row r="58" customFormat="false" ht="15.75" hidden="false" customHeight="true" outlineLevel="0" collapsed="false">
      <c r="A58" s="5" t="s">
        <v>152</v>
      </c>
      <c r="B58" s="5" t="n">
        <v>57</v>
      </c>
    </row>
    <row r="59" customFormat="false" ht="15.75" hidden="false" customHeight="true" outlineLevel="0" collapsed="false">
      <c r="A59" s="5" t="s">
        <v>101</v>
      </c>
      <c r="B59" s="5" t="n">
        <v>58</v>
      </c>
    </row>
    <row r="60" customFormat="false" ht="15.75" hidden="false" customHeight="true" outlineLevel="0" collapsed="false">
      <c r="A60" s="5" t="s">
        <v>136</v>
      </c>
      <c r="B60" s="5" t="n">
        <v>59</v>
      </c>
    </row>
    <row r="61" customFormat="false" ht="15.75" hidden="false" customHeight="true" outlineLevel="0" collapsed="false">
      <c r="A61" s="5" t="s">
        <v>33</v>
      </c>
      <c r="B61" s="5" t="n">
        <v>60</v>
      </c>
    </row>
    <row r="62" customFormat="false" ht="15.75" hidden="false" customHeight="true" outlineLevel="0" collapsed="false">
      <c r="A62" s="5" t="s">
        <v>138</v>
      </c>
      <c r="B62" s="5" t="n">
        <v>61</v>
      </c>
    </row>
    <row r="63" customFormat="false" ht="15.75" hidden="false" customHeight="true" outlineLevel="0" collapsed="false">
      <c r="A63" s="5" t="s">
        <v>42</v>
      </c>
      <c r="B63" s="5" t="n">
        <v>62</v>
      </c>
    </row>
    <row r="64" customFormat="false" ht="15.75" hidden="false" customHeight="true" outlineLevel="0" collapsed="false">
      <c r="A64" s="5" t="s">
        <v>75</v>
      </c>
      <c r="B64" s="5" t="n">
        <v>63</v>
      </c>
    </row>
    <row r="65" customFormat="false" ht="15.75" hidden="false" customHeight="true" outlineLevel="0" collapsed="false">
      <c r="A65" s="5" t="s">
        <v>56</v>
      </c>
      <c r="B65" s="5" t="n">
        <v>64</v>
      </c>
    </row>
    <row r="66" customFormat="false" ht="15.75" hidden="false" customHeight="true" outlineLevel="0" collapsed="false">
      <c r="A66" s="5" t="s">
        <v>50</v>
      </c>
      <c r="B66" s="5" t="n">
        <v>65</v>
      </c>
    </row>
    <row r="67" customFormat="false" ht="15.75" hidden="false" customHeight="true" outlineLevel="0" collapsed="false">
      <c r="A67" s="5" t="s">
        <v>66</v>
      </c>
      <c r="B67" s="5" t="n">
        <v>66</v>
      </c>
    </row>
    <row r="68" customFormat="false" ht="15.75" hidden="false" customHeight="true" outlineLevel="0" collapsed="false">
      <c r="A68" s="5" t="s">
        <v>150</v>
      </c>
      <c r="B68" s="5" t="n">
        <v>67</v>
      </c>
    </row>
    <row r="69" customFormat="false" ht="15.75" hidden="false" customHeight="true" outlineLevel="0" collapsed="false">
      <c r="A69" s="5" t="s">
        <v>95</v>
      </c>
      <c r="B69" s="5" t="n">
        <v>68</v>
      </c>
    </row>
    <row r="70" customFormat="false" ht="15.75" hidden="false" customHeight="true" outlineLevel="0" collapsed="false">
      <c r="A70" s="5" t="s">
        <v>19</v>
      </c>
      <c r="B70" s="5" t="n">
        <v>69</v>
      </c>
    </row>
    <row r="71" customFormat="false" ht="15.75" hidden="false" customHeight="true" outlineLevel="0" collapsed="false">
      <c r="A71" s="5" t="s">
        <v>38</v>
      </c>
      <c r="B71" s="5" t="n">
        <v>70</v>
      </c>
    </row>
    <row r="72" customFormat="false" ht="15.75" hidden="false" customHeight="true" outlineLevel="0" collapsed="false">
      <c r="A72" s="5" t="s">
        <v>99</v>
      </c>
      <c r="B72" s="5" t="n">
        <v>71</v>
      </c>
    </row>
    <row r="73" customFormat="false" ht="15.75" hidden="false" customHeight="true" outlineLevel="0" collapsed="false">
      <c r="A73" s="5" t="s">
        <v>67</v>
      </c>
      <c r="B73" s="5" t="n">
        <v>72</v>
      </c>
    </row>
    <row r="74" customFormat="false" ht="15.75" hidden="false" customHeight="true" outlineLevel="0" collapsed="false">
      <c r="A74" s="5" t="s">
        <v>132</v>
      </c>
      <c r="B74" s="5" t="n">
        <v>73</v>
      </c>
    </row>
    <row r="75" customFormat="false" ht="15.75" hidden="false" customHeight="true" outlineLevel="0" collapsed="false">
      <c r="A75" s="5" t="s">
        <v>57</v>
      </c>
      <c r="B75" s="5" t="n">
        <v>74</v>
      </c>
    </row>
    <row r="76" customFormat="false" ht="15.75" hidden="false" customHeight="true" outlineLevel="0" collapsed="false">
      <c r="A76" s="5" t="s">
        <v>80</v>
      </c>
      <c r="B76" s="5" t="n">
        <v>75</v>
      </c>
    </row>
    <row r="77" customFormat="false" ht="15.75" hidden="false" customHeight="true" outlineLevel="0" collapsed="false">
      <c r="A77" s="5" t="s">
        <v>151</v>
      </c>
      <c r="B77" s="5" t="n">
        <v>76</v>
      </c>
    </row>
    <row r="78" customFormat="false" ht="15.75" hidden="false" customHeight="true" outlineLevel="0" collapsed="false">
      <c r="A78" s="5" t="s">
        <v>89</v>
      </c>
      <c r="B78" s="5" t="n">
        <v>77</v>
      </c>
    </row>
    <row r="79" customFormat="false" ht="15.75" hidden="false" customHeight="true" outlineLevel="0" collapsed="false">
      <c r="A79" s="5" t="s">
        <v>143</v>
      </c>
      <c r="B79" s="5" t="n">
        <v>78</v>
      </c>
    </row>
    <row r="80" customFormat="false" ht="15.75" hidden="false" customHeight="true" outlineLevel="0" collapsed="false">
      <c r="A80" s="5" t="s">
        <v>37</v>
      </c>
      <c r="B80" s="5" t="n">
        <v>79</v>
      </c>
    </row>
    <row r="81" customFormat="false" ht="15.75" hidden="false" customHeight="true" outlineLevel="0" collapsed="false">
      <c r="A81" s="5" t="s">
        <v>103</v>
      </c>
      <c r="B81" s="5" t="n">
        <v>80</v>
      </c>
    </row>
    <row r="82" customFormat="false" ht="15.75" hidden="false" customHeight="true" outlineLevel="0" collapsed="false">
      <c r="A82" s="5" t="s">
        <v>148</v>
      </c>
      <c r="B82" s="5" t="n">
        <v>81</v>
      </c>
    </row>
    <row r="83" customFormat="false" ht="15.75" hidden="false" customHeight="true" outlineLevel="0" collapsed="false">
      <c r="A83" s="5" t="s">
        <v>78</v>
      </c>
      <c r="B83" s="5" t="n">
        <v>82</v>
      </c>
    </row>
    <row r="84" customFormat="false" ht="15.75" hidden="false" customHeight="true" outlineLevel="0" collapsed="false">
      <c r="A84" s="5" t="s">
        <v>44</v>
      </c>
      <c r="B84" s="5" t="n">
        <v>83</v>
      </c>
    </row>
    <row r="85" customFormat="false" ht="15.75" hidden="false" customHeight="true" outlineLevel="0" collapsed="false">
      <c r="A85" s="5" t="s">
        <v>39</v>
      </c>
      <c r="B85" s="5" t="n">
        <v>84</v>
      </c>
    </row>
    <row r="86" customFormat="false" ht="15.75" hidden="false" customHeight="true" outlineLevel="0" collapsed="false">
      <c r="A86" s="5" t="s">
        <v>107</v>
      </c>
      <c r="B86" s="5" t="n">
        <v>85</v>
      </c>
    </row>
    <row r="87" customFormat="false" ht="15.75" hidden="false" customHeight="true" outlineLevel="0" collapsed="false">
      <c r="A87" s="5" t="s">
        <v>90</v>
      </c>
      <c r="B87" s="5" t="n">
        <v>86</v>
      </c>
    </row>
    <row r="88" customFormat="false" ht="15.75" hidden="false" customHeight="true" outlineLevel="0" collapsed="false">
      <c r="A88" s="5" t="s">
        <v>22</v>
      </c>
      <c r="B88" s="5" t="n">
        <v>87</v>
      </c>
    </row>
    <row r="89" customFormat="false" ht="15.75" hidden="false" customHeight="true" outlineLevel="0" collapsed="false">
      <c r="A89" s="5" t="s">
        <v>27</v>
      </c>
      <c r="B89" s="5" t="n">
        <v>88</v>
      </c>
    </row>
    <row r="90" customFormat="false" ht="15.75" hidden="false" customHeight="true" outlineLevel="0" collapsed="false">
      <c r="A90" s="5" t="s">
        <v>106</v>
      </c>
      <c r="B90" s="5" t="n">
        <v>89</v>
      </c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2" t="s">
        <v>0</v>
      </c>
      <c r="B1" s="2" t="s">
        <v>332</v>
      </c>
      <c r="C1" s="2" t="s">
        <v>335</v>
      </c>
      <c r="D1" s="2" t="s">
        <v>336</v>
      </c>
      <c r="E1" s="2" t="s">
        <v>337</v>
      </c>
      <c r="F1" s="2" t="s">
        <v>338</v>
      </c>
      <c r="G1" s="2" t="s">
        <v>339</v>
      </c>
      <c r="H1" s="3" t="s">
        <v>340</v>
      </c>
      <c r="J1" s="2" t="s">
        <v>341</v>
      </c>
      <c r="K1" s="2" t="s">
        <v>342</v>
      </c>
      <c r="L1" s="2" t="s">
        <v>335</v>
      </c>
      <c r="M1" s="2" t="s">
        <v>336</v>
      </c>
      <c r="N1" s="2" t="s">
        <v>337</v>
      </c>
      <c r="O1" s="2" t="s">
        <v>343</v>
      </c>
      <c r="P1" s="2" t="s">
        <v>344</v>
      </c>
      <c r="Q1" s="2" t="s">
        <v>345</v>
      </c>
      <c r="R1" s="3" t="s">
        <v>346</v>
      </c>
    </row>
    <row r="2" customFormat="false" ht="15.75" hidden="false" customHeight="true" outlineLevel="0" collapsed="false">
      <c r="A2" s="1" t="s">
        <v>102</v>
      </c>
      <c r="B2" s="1" t="n">
        <v>1</v>
      </c>
      <c r="C2" s="1" t="n">
        <v>46.69</v>
      </c>
      <c r="D2" s="1" t="n">
        <v>40.76</v>
      </c>
      <c r="E2" s="1" t="n">
        <v>53.49</v>
      </c>
      <c r="F2" s="1" t="n">
        <v>69.27</v>
      </c>
      <c r="G2" s="1" t="n">
        <v>1</v>
      </c>
      <c r="J2" s="1" t="s">
        <v>102</v>
      </c>
      <c r="K2" s="1" t="s">
        <v>347</v>
      </c>
      <c r="L2" s="1" t="n">
        <v>46.91</v>
      </c>
      <c r="M2" s="1" t="n">
        <v>39.99</v>
      </c>
      <c r="N2" s="1" t="n">
        <v>55.03</v>
      </c>
      <c r="O2" s="1" t="n">
        <v>51.16</v>
      </c>
      <c r="P2" s="1" t="n">
        <v>58.07</v>
      </c>
      <c r="Q2" s="1" t="n">
        <v>56.1</v>
      </c>
    </row>
    <row r="3" customFormat="false" ht="15.75" hidden="false" customHeight="true" outlineLevel="0" collapsed="false">
      <c r="A3" s="1" t="s">
        <v>96</v>
      </c>
      <c r="B3" s="1" t="n">
        <v>2</v>
      </c>
      <c r="C3" s="1" t="n">
        <v>44.97</v>
      </c>
      <c r="D3" s="1" t="n">
        <v>40.83</v>
      </c>
      <c r="E3" s="1" t="n">
        <v>49.54</v>
      </c>
      <c r="F3" s="1" t="n">
        <v>11.99</v>
      </c>
      <c r="G3" s="1" t="n">
        <v>14</v>
      </c>
      <c r="J3" s="1" t="s">
        <v>105</v>
      </c>
      <c r="K3" s="1" t="s">
        <v>348</v>
      </c>
      <c r="L3" s="1" t="n">
        <v>41.13</v>
      </c>
      <c r="M3" s="1" t="n">
        <v>39.89</v>
      </c>
      <c r="N3" s="1" t="n">
        <v>42.4</v>
      </c>
      <c r="O3" s="1" t="n">
        <v>32.37</v>
      </c>
      <c r="P3" s="1" t="n">
        <v>51.01</v>
      </c>
      <c r="Q3" s="1" t="n">
        <v>46.17</v>
      </c>
    </row>
    <row r="4" customFormat="false" ht="15.75" hidden="false" customHeight="true" outlineLevel="0" collapsed="false">
      <c r="A4" s="1" t="s">
        <v>105</v>
      </c>
      <c r="B4" s="1" t="n">
        <v>3</v>
      </c>
      <c r="C4" s="1" t="n">
        <v>44.63</v>
      </c>
      <c r="D4" s="1" t="n">
        <v>39.78</v>
      </c>
      <c r="E4" s="1" t="n">
        <v>50.08</v>
      </c>
      <c r="F4" s="1" t="n">
        <v>11.69</v>
      </c>
      <c r="G4" s="1" t="n">
        <v>15</v>
      </c>
      <c r="J4" s="1" t="s">
        <v>96</v>
      </c>
      <c r="K4" s="1" t="s">
        <v>349</v>
      </c>
      <c r="L4" s="1" t="n">
        <v>40.96</v>
      </c>
      <c r="M4" s="1" t="n">
        <v>35.99</v>
      </c>
      <c r="N4" s="1" t="n">
        <v>46.62</v>
      </c>
      <c r="O4" s="1" t="n">
        <v>37.15</v>
      </c>
      <c r="P4" s="1" t="n">
        <v>54.01</v>
      </c>
      <c r="Q4" s="1" t="n">
        <v>50.49</v>
      </c>
    </row>
    <row r="5" customFormat="false" ht="15.75" hidden="false" customHeight="true" outlineLevel="0" collapsed="false">
      <c r="A5" s="1" t="s">
        <v>82</v>
      </c>
      <c r="B5" s="1" t="n">
        <v>4</v>
      </c>
      <c r="C5" s="1" t="n">
        <v>39.8</v>
      </c>
      <c r="D5" s="1" t="n">
        <v>31.59</v>
      </c>
      <c r="E5" s="1" t="n">
        <v>50.14</v>
      </c>
      <c r="F5" s="1" t="n">
        <v>10.88</v>
      </c>
      <c r="G5" s="1" t="n">
        <v>17</v>
      </c>
      <c r="J5" s="1" t="s">
        <v>82</v>
      </c>
      <c r="K5" s="1" t="s">
        <v>350</v>
      </c>
      <c r="L5" s="1" t="n">
        <v>37.81</v>
      </c>
      <c r="M5" s="1" t="n">
        <v>31.54</v>
      </c>
      <c r="N5" s="1" t="n">
        <v>45.33</v>
      </c>
      <c r="O5" s="1" t="n">
        <v>39.3</v>
      </c>
      <c r="P5" s="1" t="n">
        <v>49.28</v>
      </c>
      <c r="Q5" s="1" t="n">
        <v>48.1</v>
      </c>
    </row>
    <row r="6" customFormat="false" ht="15.75" hidden="false" customHeight="true" outlineLevel="0" collapsed="false">
      <c r="A6" s="1" t="s">
        <v>73</v>
      </c>
      <c r="B6" s="1" t="n">
        <v>5</v>
      </c>
      <c r="C6" s="1" t="n">
        <v>39.18</v>
      </c>
      <c r="D6" s="1" t="n">
        <v>50.69</v>
      </c>
      <c r="E6" s="1" t="n">
        <v>30.28</v>
      </c>
      <c r="F6" s="1" t="n">
        <v>47.4</v>
      </c>
      <c r="G6" s="1" t="n">
        <v>2</v>
      </c>
      <c r="J6" s="1" t="s">
        <v>73</v>
      </c>
      <c r="K6" s="1" t="s">
        <v>351</v>
      </c>
      <c r="L6" s="1" t="n">
        <v>35.93</v>
      </c>
      <c r="M6" s="1" t="n">
        <v>50.08</v>
      </c>
      <c r="N6" s="1" t="n">
        <v>25.78</v>
      </c>
      <c r="O6" s="1" t="n">
        <v>30.03</v>
      </c>
      <c r="P6" s="1" t="n">
        <v>11.97</v>
      </c>
      <c r="Q6" s="1" t="n">
        <v>47.68</v>
      </c>
    </row>
    <row r="7" customFormat="false" ht="15.75" hidden="false" customHeight="true" outlineLevel="0" collapsed="false">
      <c r="A7" s="1" t="s">
        <v>151</v>
      </c>
      <c r="B7" s="1" t="n">
        <v>6</v>
      </c>
      <c r="C7" s="1" t="n">
        <v>37.51</v>
      </c>
      <c r="D7" s="1" t="n">
        <v>22.44</v>
      </c>
      <c r="E7" s="1" t="n">
        <v>62.7</v>
      </c>
      <c r="F7" s="1" t="n">
        <v>13.39</v>
      </c>
      <c r="G7" s="1" t="n">
        <v>13</v>
      </c>
      <c r="J7" s="1" t="s">
        <v>151</v>
      </c>
      <c r="K7" s="1" t="s">
        <v>352</v>
      </c>
      <c r="L7" s="1" t="n">
        <v>35.85</v>
      </c>
      <c r="M7" s="1" t="n">
        <v>22.43</v>
      </c>
      <c r="N7" s="1" t="n">
        <v>57.31</v>
      </c>
      <c r="O7" s="1" t="n">
        <v>51.43</v>
      </c>
      <c r="P7" s="1" t="n">
        <v>58.75</v>
      </c>
      <c r="Q7" s="1" t="n">
        <v>62.29</v>
      </c>
    </row>
    <row r="8" customFormat="false" ht="15.75" hidden="false" customHeight="true" outlineLevel="0" collapsed="false">
      <c r="A8" s="1" t="s">
        <v>149</v>
      </c>
      <c r="B8" s="1" t="n">
        <v>7</v>
      </c>
      <c r="C8" s="1" t="n">
        <v>30.92</v>
      </c>
      <c r="D8" s="1" t="n">
        <v>14.69</v>
      </c>
      <c r="E8" s="1" t="n">
        <v>65.09</v>
      </c>
      <c r="F8" s="1" t="n">
        <v>13.72</v>
      </c>
      <c r="G8" s="1" t="n">
        <v>12</v>
      </c>
      <c r="J8" s="1" t="s">
        <v>149</v>
      </c>
      <c r="K8" s="1" t="s">
        <v>353</v>
      </c>
      <c r="L8" s="1" t="n">
        <v>34.44</v>
      </c>
      <c r="M8" s="1" t="n">
        <v>18.1</v>
      </c>
      <c r="N8" s="1" t="n">
        <v>65.53</v>
      </c>
      <c r="O8" s="1" t="n">
        <v>65.79</v>
      </c>
      <c r="P8" s="1" t="n">
        <v>63.13</v>
      </c>
      <c r="Q8" s="1" t="n">
        <v>67.75</v>
      </c>
    </row>
    <row r="9" customFormat="false" ht="15.75" hidden="false" customHeight="true" outlineLevel="0" collapsed="false">
      <c r="A9" s="1" t="s">
        <v>66</v>
      </c>
      <c r="B9" s="1" t="n">
        <v>8</v>
      </c>
      <c r="C9" s="1" t="n">
        <v>30.58</v>
      </c>
      <c r="D9" s="1" t="n">
        <v>28.37</v>
      </c>
      <c r="E9" s="1" t="n">
        <v>32.97</v>
      </c>
      <c r="F9" s="1" t="n">
        <v>8.86</v>
      </c>
      <c r="G9" s="1" t="n">
        <v>23</v>
      </c>
      <c r="J9" s="1" t="s">
        <v>66</v>
      </c>
      <c r="K9" s="1" t="s">
        <v>354</v>
      </c>
      <c r="L9" s="1" t="n">
        <v>28.12</v>
      </c>
      <c r="M9" s="1" t="n">
        <v>28.35</v>
      </c>
      <c r="N9" s="1" t="n">
        <v>27.89</v>
      </c>
      <c r="O9" s="1" t="n">
        <v>15.31</v>
      </c>
      <c r="P9" s="1" t="n">
        <v>40.03</v>
      </c>
      <c r="Q9" s="1" t="n">
        <v>35.38</v>
      </c>
    </row>
    <row r="10" customFormat="false" ht="15.75" hidden="false" customHeight="true" outlineLevel="0" collapsed="false">
      <c r="A10" s="1" t="s">
        <v>61</v>
      </c>
      <c r="B10" s="1" t="n">
        <v>9</v>
      </c>
      <c r="C10" s="1" t="n">
        <v>29.54</v>
      </c>
      <c r="D10" s="1" t="n">
        <v>71.06</v>
      </c>
      <c r="E10" s="1" t="n">
        <v>12.28</v>
      </c>
      <c r="F10" s="1" t="n">
        <v>30.38</v>
      </c>
      <c r="G10" s="1" t="n">
        <v>6</v>
      </c>
      <c r="J10" s="1" t="s">
        <v>107</v>
      </c>
      <c r="K10" s="1" t="s">
        <v>355</v>
      </c>
      <c r="L10" s="1" t="n">
        <v>27.73</v>
      </c>
      <c r="M10" s="1" t="n">
        <v>16.57</v>
      </c>
      <c r="N10" s="1" t="n">
        <v>46.39</v>
      </c>
      <c r="O10" s="1" t="n">
        <v>35.5</v>
      </c>
      <c r="P10" s="1" t="n">
        <v>57.92</v>
      </c>
      <c r="Q10" s="1" t="n">
        <v>48.54</v>
      </c>
    </row>
    <row r="11" customFormat="false" ht="15.75" hidden="false" customHeight="true" outlineLevel="0" collapsed="false">
      <c r="A11" s="1" t="s">
        <v>210</v>
      </c>
      <c r="B11" s="1" t="n">
        <v>10</v>
      </c>
      <c r="C11" s="1" t="n">
        <v>29.12</v>
      </c>
      <c r="D11" s="1" t="n">
        <v>11.94</v>
      </c>
      <c r="E11" s="1" t="n">
        <v>71</v>
      </c>
      <c r="F11" s="1" t="n">
        <v>0.84</v>
      </c>
      <c r="G11" s="1" t="n">
        <v>71</v>
      </c>
      <c r="J11" s="1" t="s">
        <v>111</v>
      </c>
      <c r="K11" s="1" t="s">
        <v>356</v>
      </c>
      <c r="L11" s="1" t="n">
        <v>27.02</v>
      </c>
      <c r="M11" s="1" t="n">
        <v>13.11</v>
      </c>
      <c r="N11" s="1" t="n">
        <v>55.69</v>
      </c>
      <c r="O11" s="1" t="n">
        <v>42.64</v>
      </c>
      <c r="P11" s="1" t="n">
        <v>63.1</v>
      </c>
      <c r="Q11" s="1" t="n">
        <v>64.18</v>
      </c>
    </row>
    <row r="12" customFormat="false" ht="15.75" hidden="false" customHeight="true" outlineLevel="0" collapsed="false">
      <c r="A12" s="1" t="s">
        <v>150</v>
      </c>
      <c r="B12" s="1" t="n">
        <v>11</v>
      </c>
      <c r="C12" s="1" t="n">
        <v>27.68</v>
      </c>
      <c r="D12" s="1" t="n">
        <v>21.89</v>
      </c>
      <c r="E12" s="1" t="n">
        <v>34.99</v>
      </c>
      <c r="F12" s="1" t="n">
        <v>10.04</v>
      </c>
      <c r="G12" s="1" t="n">
        <v>18</v>
      </c>
      <c r="J12" s="1" t="s">
        <v>85</v>
      </c>
      <c r="K12" s="1" t="s">
        <v>357</v>
      </c>
      <c r="L12" s="1" t="n">
        <v>27.01</v>
      </c>
      <c r="M12" s="1" t="n">
        <v>16.65</v>
      </c>
      <c r="N12" s="1" t="n">
        <v>43.82</v>
      </c>
      <c r="O12" s="1" t="n">
        <v>36.32</v>
      </c>
      <c r="P12" s="1" t="n">
        <v>46.06</v>
      </c>
      <c r="Q12" s="1" t="n">
        <v>50.3</v>
      </c>
    </row>
    <row r="13" customFormat="false" ht="15.75" hidden="false" customHeight="true" outlineLevel="0" collapsed="false">
      <c r="A13" s="1" t="s">
        <v>128</v>
      </c>
      <c r="B13" s="1" t="n">
        <v>12</v>
      </c>
      <c r="C13" s="1" t="n">
        <v>27.64</v>
      </c>
      <c r="D13" s="1" t="n">
        <v>21.2</v>
      </c>
      <c r="E13" s="1" t="n">
        <v>36.04</v>
      </c>
      <c r="F13" s="1" t="n">
        <v>2.33</v>
      </c>
      <c r="G13" s="1" t="n">
        <v>53</v>
      </c>
      <c r="J13" s="1" t="s">
        <v>128</v>
      </c>
      <c r="K13" s="1" t="s">
        <v>358</v>
      </c>
      <c r="L13" s="1" t="n">
        <v>26.35</v>
      </c>
      <c r="M13" s="1" t="n">
        <v>18.84</v>
      </c>
      <c r="N13" s="1" t="n">
        <v>36.84</v>
      </c>
      <c r="O13" s="1" t="n">
        <v>57.46</v>
      </c>
      <c r="P13" s="1" t="n">
        <v>13.59</v>
      </c>
      <c r="Q13" s="1" t="n">
        <v>64.04</v>
      </c>
    </row>
    <row r="14" customFormat="false" ht="15.75" hidden="false" customHeight="true" outlineLevel="0" collapsed="false">
      <c r="A14" s="1" t="s">
        <v>111</v>
      </c>
      <c r="B14" s="1" t="n">
        <v>13</v>
      </c>
      <c r="C14" s="1" t="n">
        <v>27.03</v>
      </c>
      <c r="D14" s="1" t="n">
        <v>13.91</v>
      </c>
      <c r="E14" s="1" t="n">
        <v>52.53</v>
      </c>
      <c r="F14" s="1" t="n">
        <v>2.99</v>
      </c>
      <c r="G14" s="1" t="n">
        <v>50</v>
      </c>
      <c r="J14" s="1" t="s">
        <v>161</v>
      </c>
      <c r="K14" s="1" t="s">
        <v>359</v>
      </c>
      <c r="L14" s="1" t="n">
        <v>24.8</v>
      </c>
      <c r="M14" s="1" t="n">
        <v>18.38</v>
      </c>
      <c r="N14" s="1" t="n">
        <v>33.47</v>
      </c>
      <c r="O14" s="1" t="n">
        <v>34.35</v>
      </c>
      <c r="P14" s="1" t="n">
        <v>15.27</v>
      </c>
      <c r="Q14" s="1" t="n">
        <v>71.49</v>
      </c>
    </row>
    <row r="15" customFormat="false" ht="15.75" hidden="false" customHeight="true" outlineLevel="0" collapsed="false">
      <c r="A15" s="1" t="s">
        <v>107</v>
      </c>
      <c r="B15" s="1" t="n">
        <v>14</v>
      </c>
      <c r="C15" s="1" t="n">
        <v>25.7</v>
      </c>
      <c r="D15" s="1" t="n">
        <v>15.91</v>
      </c>
      <c r="E15" s="1" t="n">
        <v>41.51</v>
      </c>
      <c r="F15" s="1" t="n">
        <v>11.18</v>
      </c>
      <c r="G15" s="1" t="n">
        <v>16</v>
      </c>
      <c r="J15" s="1" t="s">
        <v>210</v>
      </c>
      <c r="K15" s="1" t="s">
        <v>360</v>
      </c>
      <c r="L15" s="1" t="n">
        <v>24.64</v>
      </c>
      <c r="M15" s="1" t="n">
        <v>8.55</v>
      </c>
      <c r="N15" s="1" t="n">
        <v>71.02</v>
      </c>
      <c r="O15" s="1" t="n">
        <v>68.39</v>
      </c>
      <c r="P15" s="1" t="n">
        <v>81.85</v>
      </c>
      <c r="Q15" s="1" t="n">
        <v>63.98</v>
      </c>
    </row>
    <row r="16" customFormat="false" ht="15.75" hidden="false" customHeight="true" outlineLevel="0" collapsed="false">
      <c r="A16" s="1" t="s">
        <v>134</v>
      </c>
      <c r="B16" s="1" t="n">
        <v>15</v>
      </c>
      <c r="C16" s="1" t="n">
        <v>25.18</v>
      </c>
      <c r="D16" s="1" t="n">
        <v>9.36</v>
      </c>
      <c r="E16" s="1" t="n">
        <v>67.75</v>
      </c>
      <c r="F16" s="1" t="n">
        <v>0.82</v>
      </c>
      <c r="G16" s="1" t="n">
        <v>77</v>
      </c>
      <c r="J16" s="1" t="s">
        <v>134</v>
      </c>
      <c r="K16" s="1" t="s">
        <v>361</v>
      </c>
      <c r="L16" s="1" t="n">
        <v>24.47</v>
      </c>
      <c r="M16" s="1" t="n">
        <v>9.12</v>
      </c>
      <c r="N16" s="1" t="n">
        <v>65.64</v>
      </c>
      <c r="O16" s="1" t="n">
        <v>60.55</v>
      </c>
      <c r="P16" s="1" t="n">
        <v>69.8</v>
      </c>
      <c r="Q16" s="1" t="n">
        <v>66.92</v>
      </c>
    </row>
    <row r="17" customFormat="false" ht="15.75" hidden="false" customHeight="true" outlineLevel="0" collapsed="false">
      <c r="A17" s="1" t="s">
        <v>97</v>
      </c>
      <c r="B17" s="1" t="n">
        <v>16</v>
      </c>
      <c r="C17" s="1" t="n">
        <v>24.83</v>
      </c>
      <c r="D17" s="1" t="n">
        <v>26.12</v>
      </c>
      <c r="E17" s="1" t="n">
        <v>23.6</v>
      </c>
      <c r="F17" s="1" t="n">
        <v>8.82</v>
      </c>
      <c r="G17" s="1" t="n">
        <v>24</v>
      </c>
      <c r="J17" s="1" t="s">
        <v>97</v>
      </c>
      <c r="K17" s="1" t="s">
        <v>362</v>
      </c>
      <c r="L17" s="1" t="n">
        <v>24.24</v>
      </c>
      <c r="M17" s="1" t="n">
        <v>26.73</v>
      </c>
      <c r="N17" s="1" t="n">
        <v>21.98</v>
      </c>
      <c r="O17" s="1" t="n">
        <v>20.35</v>
      </c>
      <c r="P17" s="1" t="n">
        <v>12.38</v>
      </c>
      <c r="Q17" s="1" t="n">
        <v>42.13</v>
      </c>
    </row>
    <row r="18" customFormat="false" ht="15.75" hidden="false" customHeight="true" outlineLevel="0" collapsed="false">
      <c r="A18" s="1" t="s">
        <v>17</v>
      </c>
      <c r="B18" s="1" t="n">
        <v>17</v>
      </c>
      <c r="C18" s="1" t="n">
        <v>24.17</v>
      </c>
      <c r="D18" s="1" t="n">
        <v>39.78</v>
      </c>
      <c r="E18" s="1" t="n">
        <v>14.69</v>
      </c>
      <c r="F18" s="1" t="n">
        <v>29.29</v>
      </c>
      <c r="G18" s="1" t="n">
        <v>8</v>
      </c>
      <c r="J18" s="1" t="s">
        <v>108</v>
      </c>
      <c r="K18" s="1" t="s">
        <v>363</v>
      </c>
      <c r="L18" s="1" t="n">
        <v>24.2</v>
      </c>
      <c r="M18" s="1" t="n">
        <v>19.52</v>
      </c>
      <c r="N18" s="1" t="n">
        <v>30.01</v>
      </c>
      <c r="O18" s="1" t="n">
        <v>29.57</v>
      </c>
      <c r="P18" s="1" t="n">
        <v>14.43</v>
      </c>
      <c r="Q18" s="1" t="n">
        <v>63.36</v>
      </c>
    </row>
    <row r="19" customFormat="false" ht="15.75" hidden="false" customHeight="true" outlineLevel="0" collapsed="false">
      <c r="A19" s="1" t="s">
        <v>161</v>
      </c>
      <c r="B19" s="1" t="n">
        <v>18</v>
      </c>
      <c r="C19" s="1" t="n">
        <v>24.16</v>
      </c>
      <c r="D19" s="1" t="n">
        <v>19.1</v>
      </c>
      <c r="E19" s="1" t="n">
        <v>30.57</v>
      </c>
      <c r="F19" s="1" t="n">
        <v>44.99</v>
      </c>
      <c r="G19" s="1" t="n">
        <v>3</v>
      </c>
      <c r="J19" s="1" t="s">
        <v>88</v>
      </c>
      <c r="K19" s="1" t="s">
        <v>364</v>
      </c>
      <c r="L19" s="1" t="n">
        <v>23.81</v>
      </c>
      <c r="M19" s="1" t="n">
        <v>14.57</v>
      </c>
      <c r="N19" s="1" t="n">
        <v>38.9</v>
      </c>
      <c r="O19" s="1" t="n">
        <v>28.5</v>
      </c>
      <c r="P19" s="1" t="n">
        <v>45.47</v>
      </c>
      <c r="Q19" s="1" t="n">
        <v>45.43</v>
      </c>
    </row>
    <row r="20" customFormat="false" ht="15.75" hidden="false" customHeight="true" outlineLevel="0" collapsed="false">
      <c r="A20" s="1" t="s">
        <v>40</v>
      </c>
      <c r="B20" s="1" t="n">
        <v>19</v>
      </c>
      <c r="C20" s="1" t="n">
        <v>22.69</v>
      </c>
      <c r="D20" s="1" t="n">
        <v>43.35</v>
      </c>
      <c r="E20" s="1" t="n">
        <v>11.88</v>
      </c>
      <c r="F20" s="1" t="n">
        <v>31.78</v>
      </c>
      <c r="G20" s="1" t="n">
        <v>5</v>
      </c>
      <c r="J20" s="1" t="s">
        <v>17</v>
      </c>
      <c r="K20" s="1" t="s">
        <v>365</v>
      </c>
      <c r="L20" s="1" t="n">
        <v>22.56</v>
      </c>
      <c r="M20" s="1" t="n">
        <v>39.59</v>
      </c>
      <c r="N20" s="1" t="n">
        <v>12.85</v>
      </c>
      <c r="O20" s="1" t="n">
        <v>8.4</v>
      </c>
      <c r="P20" s="1" t="n">
        <v>7.95</v>
      </c>
      <c r="Q20" s="1" t="n">
        <v>31.78</v>
      </c>
    </row>
    <row r="21" customFormat="false" ht="15.75" hidden="false" customHeight="true" outlineLevel="0" collapsed="false">
      <c r="A21" s="1" t="s">
        <v>153</v>
      </c>
      <c r="B21" s="1" t="n">
        <v>20</v>
      </c>
      <c r="C21" s="1" t="n">
        <v>22.63</v>
      </c>
      <c r="D21" s="1" t="n">
        <v>22.79</v>
      </c>
      <c r="E21" s="1" t="n">
        <v>22.48</v>
      </c>
      <c r="F21" s="1" t="n">
        <v>7.67</v>
      </c>
      <c r="G21" s="1" t="n">
        <v>28</v>
      </c>
      <c r="J21" s="1" t="s">
        <v>153</v>
      </c>
      <c r="K21" s="1" t="s">
        <v>366</v>
      </c>
      <c r="L21" s="1" t="n">
        <v>21.94</v>
      </c>
      <c r="M21" s="1" t="n">
        <v>18.71</v>
      </c>
      <c r="N21" s="1" t="n">
        <v>25.73</v>
      </c>
      <c r="O21" s="1" t="n">
        <v>36.6</v>
      </c>
      <c r="P21" s="1" t="n">
        <v>13.94</v>
      </c>
      <c r="Q21" s="1" t="n">
        <v>33.4</v>
      </c>
    </row>
    <row r="22" customFormat="false" ht="15.75" hidden="false" customHeight="true" outlineLevel="0" collapsed="false">
      <c r="A22" s="1" t="s">
        <v>136</v>
      </c>
      <c r="B22" s="1" t="n">
        <v>21</v>
      </c>
      <c r="C22" s="1" t="n">
        <v>22.41</v>
      </c>
      <c r="D22" s="1" t="n">
        <v>15.42</v>
      </c>
      <c r="E22" s="1" t="n">
        <v>32.58</v>
      </c>
      <c r="F22" s="1" t="n">
        <v>9.84</v>
      </c>
      <c r="G22" s="1" t="n">
        <v>19</v>
      </c>
      <c r="J22" s="1" t="s">
        <v>86</v>
      </c>
      <c r="K22" s="1" t="s">
        <v>367</v>
      </c>
      <c r="L22" s="1" t="n">
        <v>21.7</v>
      </c>
      <c r="M22" s="1" t="n">
        <v>14.32</v>
      </c>
      <c r="N22" s="1" t="n">
        <v>32.87</v>
      </c>
      <c r="O22" s="1" t="n">
        <v>21.12</v>
      </c>
      <c r="P22" s="1" t="n">
        <v>47.95</v>
      </c>
      <c r="Q22" s="1" t="n">
        <v>35.08</v>
      </c>
    </row>
    <row r="23" customFormat="false" ht="15.75" hidden="false" customHeight="true" outlineLevel="0" collapsed="false">
      <c r="A23" s="1" t="s">
        <v>85</v>
      </c>
      <c r="B23" s="1" t="n">
        <v>22</v>
      </c>
      <c r="C23" s="1" t="n">
        <v>21.31</v>
      </c>
      <c r="D23" s="1" t="n">
        <v>14.89</v>
      </c>
      <c r="E23" s="1" t="n">
        <v>30.5</v>
      </c>
      <c r="F23" s="1" t="n">
        <v>0.55</v>
      </c>
      <c r="G23" s="1" t="n">
        <v>106</v>
      </c>
      <c r="J23" s="1" t="s">
        <v>61</v>
      </c>
      <c r="K23" s="1" t="s">
        <v>368</v>
      </c>
      <c r="L23" s="1" t="n">
        <v>21.31</v>
      </c>
      <c r="M23" s="1" t="n">
        <v>64.59</v>
      </c>
      <c r="N23" s="1" t="n">
        <v>7.03</v>
      </c>
      <c r="O23" s="1" t="n">
        <v>11.03</v>
      </c>
      <c r="P23" s="1" t="n">
        <v>11.55</v>
      </c>
      <c r="Q23" s="1" t="n">
        <v>2.73</v>
      </c>
    </row>
    <row r="24" customFormat="false" ht="15.75" hidden="false" customHeight="true" outlineLevel="0" collapsed="false">
      <c r="A24" s="1" t="s">
        <v>86</v>
      </c>
      <c r="B24" s="1" t="n">
        <v>23</v>
      </c>
      <c r="C24" s="1" t="n">
        <v>21.15</v>
      </c>
      <c r="D24" s="1" t="n">
        <v>14.1</v>
      </c>
      <c r="E24" s="1" t="n">
        <v>31.74</v>
      </c>
      <c r="F24" s="1" t="n">
        <v>9.22</v>
      </c>
      <c r="G24" s="1" t="n">
        <v>22</v>
      </c>
      <c r="J24" s="1" t="s">
        <v>20</v>
      </c>
      <c r="K24" s="1" t="s">
        <v>369</v>
      </c>
      <c r="L24" s="1" t="n">
        <v>21.05</v>
      </c>
      <c r="M24" s="1" t="n">
        <v>31.21</v>
      </c>
      <c r="N24" s="1" t="n">
        <v>14.2</v>
      </c>
      <c r="O24" s="1" t="n">
        <v>6.72</v>
      </c>
      <c r="P24" s="1" t="n">
        <v>14.38</v>
      </c>
      <c r="Q24" s="1" t="n">
        <v>29.64</v>
      </c>
    </row>
    <row r="25" customFormat="false" ht="15.75" hidden="false" customHeight="true" outlineLevel="0" collapsed="false">
      <c r="A25" s="1" t="s">
        <v>88</v>
      </c>
      <c r="B25" s="1" t="n">
        <v>24</v>
      </c>
      <c r="C25" s="1" t="n">
        <v>20.8</v>
      </c>
      <c r="D25" s="1" t="n">
        <v>14.33</v>
      </c>
      <c r="E25" s="1" t="n">
        <v>30.18</v>
      </c>
      <c r="F25" s="1" t="n">
        <v>0.55</v>
      </c>
      <c r="G25" s="1" t="n">
        <v>106</v>
      </c>
      <c r="J25" s="1" t="s">
        <v>40</v>
      </c>
      <c r="K25" s="1" t="s">
        <v>370</v>
      </c>
      <c r="L25" s="1" t="n">
        <v>20.94</v>
      </c>
      <c r="M25" s="1" t="n">
        <v>43.67</v>
      </c>
      <c r="N25" s="1" t="n">
        <v>10.04</v>
      </c>
      <c r="O25" s="1" t="n">
        <v>11.5</v>
      </c>
      <c r="P25" s="1" t="n">
        <v>6.89</v>
      </c>
      <c r="Q25" s="1" t="n">
        <v>12.76</v>
      </c>
    </row>
    <row r="26" customFormat="false" ht="15.75" hidden="false" customHeight="true" outlineLevel="0" collapsed="false">
      <c r="A26" s="1" t="s">
        <v>20</v>
      </c>
      <c r="B26" s="1" t="n">
        <v>25</v>
      </c>
      <c r="C26" s="1" t="n">
        <v>19.92</v>
      </c>
      <c r="D26" s="1" t="n">
        <v>32.11</v>
      </c>
      <c r="E26" s="1" t="n">
        <v>12.36</v>
      </c>
      <c r="F26" s="1" t="n">
        <v>24.72</v>
      </c>
      <c r="G26" s="1" t="n">
        <v>10</v>
      </c>
      <c r="J26" s="1" t="s">
        <v>31</v>
      </c>
      <c r="K26" s="1" t="s">
        <v>371</v>
      </c>
      <c r="L26" s="1" t="n">
        <v>18.89</v>
      </c>
      <c r="M26" s="1" t="n">
        <v>25.89</v>
      </c>
      <c r="N26" s="1" t="n">
        <v>13.78</v>
      </c>
      <c r="O26" s="1" t="n">
        <v>9.95</v>
      </c>
      <c r="P26" s="1" t="n">
        <v>7.81</v>
      </c>
      <c r="Q26" s="1" t="n">
        <v>33.69</v>
      </c>
    </row>
    <row r="27" customFormat="false" ht="15.75" hidden="false" customHeight="true" outlineLevel="0" collapsed="false">
      <c r="A27" s="1" t="s">
        <v>31</v>
      </c>
      <c r="B27" s="1" t="n">
        <v>26</v>
      </c>
      <c r="C27" s="1" t="n">
        <v>19.48</v>
      </c>
      <c r="D27" s="1" t="n">
        <v>26.08</v>
      </c>
      <c r="E27" s="1" t="n">
        <v>14.55</v>
      </c>
      <c r="F27" s="1" t="n">
        <v>5.98</v>
      </c>
      <c r="G27" s="1" t="n">
        <v>43</v>
      </c>
      <c r="J27" s="1" t="s">
        <v>112</v>
      </c>
      <c r="K27" s="1" t="s">
        <v>372</v>
      </c>
      <c r="L27" s="1" t="n">
        <v>18.78</v>
      </c>
      <c r="M27" s="1" t="n">
        <v>10.74</v>
      </c>
      <c r="N27" s="1" t="n">
        <v>32.83</v>
      </c>
      <c r="O27" s="1" t="n">
        <v>16.01</v>
      </c>
      <c r="P27" s="1" t="n">
        <v>46.24</v>
      </c>
      <c r="Q27" s="1" t="n">
        <v>47.8</v>
      </c>
    </row>
    <row r="28" customFormat="false" ht="15.75" hidden="false" customHeight="true" outlineLevel="0" collapsed="false">
      <c r="A28" s="1" t="s">
        <v>106</v>
      </c>
      <c r="B28" s="1" t="n">
        <v>27</v>
      </c>
      <c r="C28" s="1" t="n">
        <v>18.77</v>
      </c>
      <c r="D28" s="1" t="n">
        <v>12.47</v>
      </c>
      <c r="E28" s="1" t="n">
        <v>28.24</v>
      </c>
      <c r="F28" s="1" t="n">
        <v>2.06</v>
      </c>
      <c r="G28" s="1" t="n">
        <v>56</v>
      </c>
      <c r="J28" s="1" t="s">
        <v>70</v>
      </c>
      <c r="K28" s="1" t="s">
        <v>373</v>
      </c>
      <c r="L28" s="1" t="n">
        <v>18.19</v>
      </c>
      <c r="M28" s="1" t="n">
        <v>15.89</v>
      </c>
      <c r="N28" s="1" t="n">
        <v>20.82</v>
      </c>
      <c r="O28" s="1" t="n">
        <v>21.22</v>
      </c>
      <c r="P28" s="1" t="n">
        <v>10.9</v>
      </c>
      <c r="Q28" s="1" t="n">
        <v>39.02</v>
      </c>
    </row>
    <row r="29" customFormat="false" ht="15.75" hidden="false" customHeight="true" outlineLevel="0" collapsed="false">
      <c r="A29" s="1" t="s">
        <v>70</v>
      </c>
      <c r="B29" s="1" t="n">
        <v>28</v>
      </c>
      <c r="C29" s="1" t="n">
        <v>18.18</v>
      </c>
      <c r="D29" s="1" t="n">
        <v>16.27</v>
      </c>
      <c r="E29" s="1" t="n">
        <v>20.32</v>
      </c>
      <c r="F29" s="1" t="n">
        <v>1.75</v>
      </c>
      <c r="G29" s="1" t="n">
        <v>62</v>
      </c>
      <c r="J29" s="1" t="s">
        <v>106</v>
      </c>
      <c r="K29" s="1" t="s">
        <v>374</v>
      </c>
      <c r="L29" s="1" t="n">
        <v>17.47</v>
      </c>
      <c r="M29" s="1" t="n">
        <v>12.49</v>
      </c>
      <c r="N29" s="1" t="n">
        <v>24.43</v>
      </c>
      <c r="O29" s="1" t="n">
        <v>20.61</v>
      </c>
      <c r="P29" s="1" t="n">
        <v>58.11</v>
      </c>
      <c r="Q29" s="1" t="n">
        <v>12.17</v>
      </c>
    </row>
    <row r="30" customFormat="false" ht="15.75" hidden="false" customHeight="true" outlineLevel="0" collapsed="false">
      <c r="A30" s="1" t="s">
        <v>216</v>
      </c>
      <c r="B30" s="1" t="n">
        <v>29</v>
      </c>
      <c r="C30" s="1" t="n">
        <v>17.81</v>
      </c>
      <c r="D30" s="1" t="n">
        <v>5.61</v>
      </c>
      <c r="E30" s="1" t="n">
        <v>56.51</v>
      </c>
      <c r="F30" s="1" t="n">
        <v>13.96</v>
      </c>
      <c r="G30" s="1" t="n">
        <v>11</v>
      </c>
      <c r="J30" s="1" t="s">
        <v>150</v>
      </c>
      <c r="K30" s="1" t="s">
        <v>375</v>
      </c>
      <c r="L30" s="1" t="n">
        <v>16.81</v>
      </c>
      <c r="M30" s="1" t="n">
        <v>8.82</v>
      </c>
      <c r="N30" s="1" t="n">
        <v>32.02</v>
      </c>
      <c r="O30" s="1" t="n">
        <v>40.05</v>
      </c>
      <c r="P30" s="1" t="n">
        <v>14.42</v>
      </c>
      <c r="Q30" s="1" t="n">
        <v>56.87</v>
      </c>
    </row>
    <row r="31" customFormat="false" ht="15.75" hidden="false" customHeight="true" outlineLevel="0" collapsed="false">
      <c r="A31" s="1" t="s">
        <v>112</v>
      </c>
      <c r="B31" s="1" t="n">
        <v>30</v>
      </c>
      <c r="C31" s="1" t="n">
        <v>17.74</v>
      </c>
      <c r="D31" s="1" t="n">
        <v>10.49</v>
      </c>
      <c r="E31" s="1" t="n">
        <v>30</v>
      </c>
      <c r="F31" s="1" t="n">
        <v>0.55</v>
      </c>
      <c r="G31" s="1" t="n">
        <v>106</v>
      </c>
      <c r="J31" s="1" t="s">
        <v>376</v>
      </c>
      <c r="K31" s="1" t="s">
        <v>377</v>
      </c>
      <c r="L31" s="1" t="n">
        <v>15.98</v>
      </c>
      <c r="M31" s="1" t="n">
        <v>5.49</v>
      </c>
      <c r="N31" s="1" t="n">
        <v>46.49</v>
      </c>
      <c r="O31" s="1" t="n">
        <v>32.41</v>
      </c>
      <c r="P31" s="1" t="n">
        <v>55.08</v>
      </c>
      <c r="Q31" s="1" t="n">
        <v>56.27</v>
      </c>
    </row>
    <row r="32" customFormat="false" ht="15.75" hidden="false" customHeight="true" outlineLevel="0" collapsed="false">
      <c r="A32" s="1" t="s">
        <v>108</v>
      </c>
      <c r="B32" s="1" t="n">
        <v>31</v>
      </c>
      <c r="C32" s="1" t="n">
        <v>17.61</v>
      </c>
      <c r="D32" s="1" t="n">
        <v>15.89</v>
      </c>
      <c r="E32" s="1" t="n">
        <v>19.51</v>
      </c>
      <c r="F32" s="1" t="n">
        <v>1.77</v>
      </c>
      <c r="G32" s="1" t="n">
        <v>61</v>
      </c>
      <c r="J32" s="1" t="s">
        <v>138</v>
      </c>
      <c r="K32" s="1" t="s">
        <v>378</v>
      </c>
      <c r="L32" s="1" t="n">
        <v>14.94</v>
      </c>
      <c r="M32" s="1" t="n">
        <v>7.3</v>
      </c>
      <c r="N32" s="1" t="n">
        <v>30.56</v>
      </c>
      <c r="O32" s="1" t="n">
        <v>45.22</v>
      </c>
      <c r="P32" s="1" t="n">
        <v>11.91</v>
      </c>
      <c r="Q32" s="1" t="n">
        <v>53.01</v>
      </c>
    </row>
    <row r="33" customFormat="false" ht="15.75" hidden="false" customHeight="true" outlineLevel="0" collapsed="false">
      <c r="A33" s="1" t="s">
        <v>138</v>
      </c>
      <c r="B33" s="1" t="n">
        <v>32</v>
      </c>
      <c r="C33" s="1" t="n">
        <v>17.44</v>
      </c>
      <c r="D33" s="1" t="n">
        <v>10.65</v>
      </c>
      <c r="E33" s="1" t="n">
        <v>28.55</v>
      </c>
      <c r="F33" s="1" t="n">
        <v>2.2</v>
      </c>
      <c r="G33" s="1" t="n">
        <v>55</v>
      </c>
      <c r="J33" s="1" t="s">
        <v>71</v>
      </c>
      <c r="K33" s="1" t="s">
        <v>379</v>
      </c>
      <c r="L33" s="1" t="n">
        <v>14.81</v>
      </c>
      <c r="M33" s="1" t="n">
        <v>11.54</v>
      </c>
      <c r="N33" s="1" t="n">
        <v>19</v>
      </c>
      <c r="O33" s="1" t="n">
        <v>14.08</v>
      </c>
      <c r="P33" s="1" t="n">
        <v>10.93</v>
      </c>
      <c r="Q33" s="1" t="n">
        <v>44.56</v>
      </c>
    </row>
    <row r="34" customFormat="false" ht="15.75" hidden="false" customHeight="true" outlineLevel="0" collapsed="false">
      <c r="A34" s="1" t="s">
        <v>71</v>
      </c>
      <c r="B34" s="1" t="n">
        <v>33</v>
      </c>
      <c r="C34" s="1" t="n">
        <v>15.67</v>
      </c>
      <c r="D34" s="1" t="n">
        <v>11.29</v>
      </c>
      <c r="E34" s="1" t="n">
        <v>21.76</v>
      </c>
      <c r="F34" s="1" t="n">
        <v>0.47</v>
      </c>
      <c r="G34" s="1" t="n">
        <v>127</v>
      </c>
      <c r="J34" s="1" t="s">
        <v>119</v>
      </c>
      <c r="K34" s="1" t="s">
        <v>380</v>
      </c>
      <c r="L34" s="1" t="n">
        <v>14.74</v>
      </c>
      <c r="M34" s="1" t="n">
        <v>9.62</v>
      </c>
      <c r="N34" s="1" t="n">
        <v>22.57</v>
      </c>
      <c r="O34" s="1" t="n">
        <v>17.83</v>
      </c>
      <c r="P34" s="1" t="n">
        <v>12.42</v>
      </c>
      <c r="Q34" s="1" t="n">
        <v>51.89</v>
      </c>
    </row>
    <row r="35" customFormat="false" ht="15.75" hidden="false" customHeight="true" outlineLevel="0" collapsed="false">
      <c r="A35" s="1" t="s">
        <v>163</v>
      </c>
      <c r="B35" s="1" t="n">
        <v>34</v>
      </c>
      <c r="C35" s="1" t="n">
        <v>15.15</v>
      </c>
      <c r="D35" s="1" t="n">
        <v>4.75</v>
      </c>
      <c r="E35" s="1" t="n">
        <v>48.3</v>
      </c>
      <c r="F35" s="1" t="n">
        <v>0.69</v>
      </c>
      <c r="G35" s="1" t="n">
        <v>94</v>
      </c>
      <c r="J35" s="1" t="s">
        <v>68</v>
      </c>
      <c r="K35" s="1" t="s">
        <v>381</v>
      </c>
      <c r="L35" s="1" t="n">
        <v>14.5</v>
      </c>
      <c r="M35" s="1" t="n">
        <v>8.64</v>
      </c>
      <c r="N35" s="1" t="n">
        <v>24.34</v>
      </c>
      <c r="O35" s="1" t="n">
        <v>19.68</v>
      </c>
      <c r="P35" s="1" t="n">
        <v>20.35</v>
      </c>
      <c r="Q35" s="1" t="n">
        <v>35.99</v>
      </c>
    </row>
    <row r="36" customFormat="false" ht="15.75" hidden="false" customHeight="true" outlineLevel="0" collapsed="false">
      <c r="A36" s="1" t="s">
        <v>53</v>
      </c>
      <c r="B36" s="1" t="n">
        <v>35</v>
      </c>
      <c r="C36" s="1" t="n">
        <v>15.08</v>
      </c>
      <c r="D36" s="1" t="n">
        <v>6.98</v>
      </c>
      <c r="E36" s="1" t="n">
        <v>32.57</v>
      </c>
      <c r="F36" s="1" t="n">
        <v>2.21</v>
      </c>
      <c r="G36" s="1" t="n">
        <v>54</v>
      </c>
      <c r="J36" s="1" t="s">
        <v>62</v>
      </c>
      <c r="K36" s="1" t="s">
        <v>382</v>
      </c>
      <c r="L36" s="1" t="n">
        <v>14.48</v>
      </c>
      <c r="M36" s="1" t="n">
        <v>8.9</v>
      </c>
      <c r="N36" s="1" t="n">
        <v>23.55</v>
      </c>
      <c r="O36" s="1" t="n">
        <v>16.01</v>
      </c>
      <c r="P36" s="1" t="n">
        <v>50.01</v>
      </c>
      <c r="Q36" s="1" t="n">
        <v>16.32</v>
      </c>
    </row>
    <row r="37" customFormat="false" ht="15.75" hidden="false" customHeight="true" outlineLevel="0" collapsed="false">
      <c r="A37" s="1" t="s">
        <v>119</v>
      </c>
      <c r="B37" s="1" t="n">
        <v>36</v>
      </c>
      <c r="C37" s="1" t="n">
        <v>15.03</v>
      </c>
      <c r="D37" s="1" t="n">
        <v>9.94</v>
      </c>
      <c r="E37" s="1" t="n">
        <v>22.72</v>
      </c>
      <c r="F37" s="1" t="n">
        <v>7.48</v>
      </c>
      <c r="G37" s="1" t="n">
        <v>32</v>
      </c>
      <c r="J37" s="1" t="s">
        <v>35</v>
      </c>
      <c r="K37" s="1" t="s">
        <v>383</v>
      </c>
      <c r="L37" s="1" t="n">
        <v>14.34</v>
      </c>
      <c r="M37" s="1" t="n">
        <v>17.99</v>
      </c>
      <c r="N37" s="1" t="n">
        <v>11.43</v>
      </c>
      <c r="O37" s="1" t="n">
        <v>6.89</v>
      </c>
      <c r="P37" s="1" t="n">
        <v>6.19</v>
      </c>
      <c r="Q37" s="1" t="n">
        <v>35</v>
      </c>
    </row>
    <row r="38" customFormat="false" ht="15.75" hidden="false" customHeight="true" outlineLevel="0" collapsed="false">
      <c r="A38" s="1" t="s">
        <v>35</v>
      </c>
      <c r="B38" s="1" t="n">
        <v>37</v>
      </c>
      <c r="C38" s="1" t="n">
        <v>14.74</v>
      </c>
      <c r="D38" s="1" t="n">
        <v>18.1</v>
      </c>
      <c r="E38" s="1" t="n">
        <v>12</v>
      </c>
      <c r="F38" s="1" t="n">
        <v>1.39</v>
      </c>
      <c r="G38" s="1" t="n">
        <v>67</v>
      </c>
      <c r="J38" s="1" t="s">
        <v>163</v>
      </c>
      <c r="K38" s="1" t="s">
        <v>384</v>
      </c>
      <c r="L38" s="1" t="n">
        <v>13.87</v>
      </c>
      <c r="M38" s="1" t="n">
        <v>4.94</v>
      </c>
      <c r="N38" s="1" t="n">
        <v>38.95</v>
      </c>
      <c r="O38" s="1" t="n">
        <v>22.11</v>
      </c>
      <c r="P38" s="1" t="n">
        <v>57.58</v>
      </c>
      <c r="Q38" s="1" t="n">
        <v>46.4</v>
      </c>
    </row>
    <row r="39" customFormat="false" ht="15.75" hidden="false" customHeight="true" outlineLevel="0" collapsed="false">
      <c r="A39" s="1" t="s">
        <v>62</v>
      </c>
      <c r="B39" s="1" t="n">
        <v>38</v>
      </c>
      <c r="C39" s="1" t="n">
        <v>14.56</v>
      </c>
      <c r="D39" s="1" t="n">
        <v>8.86</v>
      </c>
      <c r="E39" s="1" t="n">
        <v>23.92</v>
      </c>
      <c r="F39" s="1" t="n">
        <v>0.49</v>
      </c>
      <c r="G39" s="1" t="n">
        <v>121</v>
      </c>
      <c r="J39" s="1" t="s">
        <v>100</v>
      </c>
      <c r="K39" s="1" t="s">
        <v>385</v>
      </c>
      <c r="L39" s="1" t="n">
        <v>13.79</v>
      </c>
      <c r="M39" s="1" t="n">
        <v>3.27</v>
      </c>
      <c r="N39" s="1" t="n">
        <v>58.17</v>
      </c>
      <c r="O39" s="1" t="n">
        <v>58.44</v>
      </c>
      <c r="P39" s="1" t="n">
        <v>57.58</v>
      </c>
      <c r="Q39" s="1" t="n">
        <v>58.49</v>
      </c>
    </row>
    <row r="40" customFormat="false" ht="15.75" hidden="false" customHeight="true" outlineLevel="0" collapsed="false">
      <c r="A40" s="1" t="s">
        <v>81</v>
      </c>
      <c r="B40" s="1" t="n">
        <v>39</v>
      </c>
      <c r="C40" s="1" t="n">
        <v>14.46</v>
      </c>
      <c r="D40" s="1" t="n">
        <v>12.91</v>
      </c>
      <c r="E40" s="1" t="n">
        <v>16.2</v>
      </c>
      <c r="F40" s="1" t="n">
        <v>0.4</v>
      </c>
      <c r="G40" s="1" t="n">
        <v>145</v>
      </c>
      <c r="J40" s="1" t="s">
        <v>81</v>
      </c>
      <c r="K40" s="1" t="s">
        <v>386</v>
      </c>
      <c r="L40" s="1" t="n">
        <v>13.74</v>
      </c>
      <c r="M40" s="1" t="n">
        <v>12.86</v>
      </c>
      <c r="N40" s="1" t="n">
        <v>14.68</v>
      </c>
      <c r="O40" s="1" t="n">
        <v>8.35</v>
      </c>
      <c r="P40" s="1" t="n">
        <v>9.43</v>
      </c>
      <c r="Q40" s="1" t="n">
        <v>40.15</v>
      </c>
    </row>
    <row r="41" customFormat="false" ht="15.75" hidden="false" customHeight="true" outlineLevel="0" collapsed="false">
      <c r="A41" s="1" t="s">
        <v>284</v>
      </c>
      <c r="B41" s="1" t="n">
        <v>40</v>
      </c>
      <c r="C41" s="1" t="n">
        <v>13.58</v>
      </c>
      <c r="D41" s="1" t="n">
        <v>8.74</v>
      </c>
      <c r="E41" s="1" t="n">
        <v>21.1</v>
      </c>
      <c r="F41" s="1" t="n">
        <v>7.65</v>
      </c>
      <c r="G41" s="1" t="n">
        <v>30</v>
      </c>
      <c r="J41" s="1" t="s">
        <v>87</v>
      </c>
      <c r="K41" s="1" t="s">
        <v>387</v>
      </c>
      <c r="L41" s="1" t="n">
        <v>13.33</v>
      </c>
      <c r="M41" s="1" t="n">
        <v>7.05</v>
      </c>
      <c r="N41" s="1" t="n">
        <v>25.2</v>
      </c>
      <c r="O41" s="1" t="n">
        <v>27.78</v>
      </c>
      <c r="P41" s="1" t="n">
        <v>12.5</v>
      </c>
      <c r="Q41" s="1" t="n">
        <v>46.06</v>
      </c>
    </row>
    <row r="42" customFormat="false" ht="15.75" hidden="false" customHeight="true" outlineLevel="0" collapsed="false">
      <c r="A42" s="1" t="s">
        <v>87</v>
      </c>
      <c r="B42" s="1" t="n">
        <v>41</v>
      </c>
      <c r="C42" s="1" t="n">
        <v>13.5</v>
      </c>
      <c r="D42" s="1" t="n">
        <v>7.27</v>
      </c>
      <c r="E42" s="1" t="n">
        <v>25.07</v>
      </c>
      <c r="F42" s="1" t="n">
        <v>9.35</v>
      </c>
      <c r="G42" s="1" t="n">
        <v>21</v>
      </c>
      <c r="J42" s="1" t="s">
        <v>91</v>
      </c>
      <c r="K42" s="1" t="s">
        <v>388</v>
      </c>
      <c r="L42" s="1" t="n">
        <v>13.15</v>
      </c>
      <c r="M42" s="1" t="n">
        <v>6.37</v>
      </c>
      <c r="N42" s="1" t="n">
        <v>27.14</v>
      </c>
      <c r="O42" s="1" t="n">
        <v>33.79</v>
      </c>
      <c r="P42" s="1" t="n">
        <v>12.38</v>
      </c>
      <c r="Q42" s="1" t="n">
        <v>47.81</v>
      </c>
    </row>
    <row r="43" customFormat="false" ht="15.75" hidden="false" customHeight="true" outlineLevel="0" collapsed="false">
      <c r="A43" s="1" t="s">
        <v>100</v>
      </c>
      <c r="B43" s="1" t="n">
        <v>42</v>
      </c>
      <c r="C43" s="1" t="n">
        <v>13.28</v>
      </c>
      <c r="D43" s="1" t="n">
        <v>3.12</v>
      </c>
      <c r="E43" s="1" t="n">
        <v>56.55</v>
      </c>
      <c r="F43" s="1" t="n">
        <v>0.75</v>
      </c>
      <c r="G43" s="1" t="n">
        <v>87</v>
      </c>
      <c r="J43" s="1" t="s">
        <v>281</v>
      </c>
      <c r="K43" s="1" t="s">
        <v>389</v>
      </c>
      <c r="L43" s="1" t="n">
        <v>12.5</v>
      </c>
      <c r="M43" s="1" t="n">
        <v>2.53</v>
      </c>
      <c r="N43" s="1" t="n">
        <v>61.8</v>
      </c>
      <c r="O43" s="1" t="n">
        <v>49.54</v>
      </c>
      <c r="P43" s="1" t="n">
        <v>72.97</v>
      </c>
      <c r="Q43" s="1" t="n">
        <v>65.3</v>
      </c>
    </row>
    <row r="44" customFormat="false" ht="15.75" hidden="false" customHeight="true" outlineLevel="0" collapsed="false">
      <c r="A44" s="1" t="s">
        <v>68</v>
      </c>
      <c r="B44" s="1" t="n">
        <v>43</v>
      </c>
      <c r="C44" s="1" t="n">
        <v>12.9</v>
      </c>
      <c r="D44" s="1" t="n">
        <v>8.86</v>
      </c>
      <c r="E44" s="1" t="n">
        <v>18.77</v>
      </c>
      <c r="F44" s="1" t="n">
        <v>1.68</v>
      </c>
      <c r="G44" s="1" t="n">
        <v>63</v>
      </c>
      <c r="J44" s="1" t="s">
        <v>187</v>
      </c>
      <c r="K44" s="1" t="s">
        <v>390</v>
      </c>
      <c r="L44" s="1" t="n">
        <v>12.38</v>
      </c>
      <c r="M44" s="1" t="n">
        <v>7.22</v>
      </c>
      <c r="N44" s="1" t="n">
        <v>21.23</v>
      </c>
      <c r="O44" s="1" t="n">
        <v>11.04</v>
      </c>
      <c r="P44" s="1" t="n">
        <v>13.83</v>
      </c>
      <c r="Q44" s="1" t="n">
        <v>62.69</v>
      </c>
    </row>
    <row r="45" customFormat="false" ht="15.75" hidden="false" customHeight="true" outlineLevel="0" collapsed="false">
      <c r="A45" s="1" t="s">
        <v>91</v>
      </c>
      <c r="B45" s="1" t="n">
        <v>44</v>
      </c>
      <c r="C45" s="1" t="n">
        <v>12.85</v>
      </c>
      <c r="D45" s="1" t="n">
        <v>6.31</v>
      </c>
      <c r="E45" s="1" t="n">
        <v>26.18</v>
      </c>
      <c r="F45" s="1" t="n">
        <v>0.51</v>
      </c>
      <c r="G45" s="1" t="n">
        <v>115</v>
      </c>
      <c r="J45" s="1" t="s">
        <v>136</v>
      </c>
      <c r="K45" s="1" t="s">
        <v>391</v>
      </c>
      <c r="L45" s="1" t="n">
        <v>11.76</v>
      </c>
      <c r="M45" s="1" t="n">
        <v>4.29</v>
      </c>
      <c r="N45" s="1" t="n">
        <v>32.25</v>
      </c>
      <c r="O45" s="1" t="n">
        <v>39.83</v>
      </c>
      <c r="P45" s="1" t="n">
        <v>14.67</v>
      </c>
      <c r="Q45" s="1" t="n">
        <v>57.42</v>
      </c>
    </row>
    <row r="46" customFormat="false" ht="15.75" hidden="false" customHeight="true" outlineLevel="0" collapsed="false">
      <c r="A46" s="1" t="s">
        <v>94</v>
      </c>
      <c r="B46" s="1" t="n">
        <v>45</v>
      </c>
      <c r="C46" s="1" t="n">
        <v>12.59</v>
      </c>
      <c r="D46" s="1" t="n">
        <v>7.45</v>
      </c>
      <c r="E46" s="1" t="n">
        <v>21.26</v>
      </c>
      <c r="F46" s="1" t="n">
        <v>0.46</v>
      </c>
      <c r="G46" s="1" t="n">
        <v>130</v>
      </c>
      <c r="J46" s="1" t="s">
        <v>182</v>
      </c>
      <c r="K46" s="1" t="s">
        <v>392</v>
      </c>
      <c r="L46" s="1" t="n">
        <v>11.58</v>
      </c>
      <c r="M46" s="1" t="n">
        <v>5.8</v>
      </c>
      <c r="N46" s="1" t="n">
        <v>23.12</v>
      </c>
      <c r="O46" s="1" t="n">
        <v>17.84</v>
      </c>
      <c r="P46" s="1" t="n">
        <v>12.18</v>
      </c>
      <c r="Q46" s="1" t="n">
        <v>56.86</v>
      </c>
    </row>
    <row r="47" customFormat="false" ht="15.75" hidden="false" customHeight="true" outlineLevel="0" collapsed="false">
      <c r="A47" s="1" t="s">
        <v>158</v>
      </c>
      <c r="B47" s="1" t="n">
        <v>46</v>
      </c>
      <c r="C47" s="1" t="n">
        <v>12.53</v>
      </c>
      <c r="D47" s="1" t="n">
        <v>5.39</v>
      </c>
      <c r="E47" s="1" t="n">
        <v>29.11</v>
      </c>
      <c r="F47" s="1" t="n">
        <v>2.02</v>
      </c>
      <c r="G47" s="1" t="n">
        <v>57</v>
      </c>
      <c r="J47" s="1" t="s">
        <v>143</v>
      </c>
      <c r="K47" s="1" t="s">
        <v>393</v>
      </c>
      <c r="L47" s="1" t="n">
        <v>11.4</v>
      </c>
      <c r="M47" s="1" t="n">
        <v>2.08</v>
      </c>
      <c r="N47" s="1" t="n">
        <v>62.44</v>
      </c>
      <c r="O47" s="1" t="n">
        <v>58.76</v>
      </c>
      <c r="P47" s="1" t="n">
        <v>65.04</v>
      </c>
      <c r="Q47" s="1" t="n">
        <v>63.69</v>
      </c>
    </row>
    <row r="48" customFormat="false" ht="15.75" hidden="false" customHeight="true" outlineLevel="0" collapsed="false">
      <c r="A48" s="1" t="s">
        <v>63</v>
      </c>
      <c r="B48" s="1" t="n">
        <v>47</v>
      </c>
      <c r="C48" s="1" t="n">
        <v>12.14</v>
      </c>
      <c r="D48" s="1" t="n">
        <v>10.59</v>
      </c>
      <c r="E48" s="1" t="n">
        <v>13.92</v>
      </c>
      <c r="F48" s="1" t="n">
        <v>1.44</v>
      </c>
      <c r="G48" s="1" t="n">
        <v>66</v>
      </c>
      <c r="J48" s="1" t="s">
        <v>63</v>
      </c>
      <c r="K48" s="1" t="s">
        <v>394</v>
      </c>
      <c r="L48" s="1" t="n">
        <v>11.17</v>
      </c>
      <c r="M48" s="1" t="n">
        <v>9.89</v>
      </c>
      <c r="N48" s="1" t="n">
        <v>12.62</v>
      </c>
      <c r="O48" s="1" t="n">
        <v>19.36</v>
      </c>
      <c r="P48" s="1" t="n">
        <v>10.86</v>
      </c>
      <c r="Q48" s="1" t="n">
        <v>9.57</v>
      </c>
    </row>
    <row r="49" customFormat="false" ht="15.75" hidden="false" customHeight="true" outlineLevel="0" collapsed="false">
      <c r="A49" s="1" t="s">
        <v>159</v>
      </c>
      <c r="B49" s="1" t="n">
        <v>48</v>
      </c>
      <c r="C49" s="1" t="n">
        <v>11.55</v>
      </c>
      <c r="D49" s="1" t="n">
        <v>2.56</v>
      </c>
      <c r="E49" s="1" t="n">
        <v>52.07</v>
      </c>
      <c r="F49" s="1" t="n">
        <v>0.72</v>
      </c>
      <c r="G49" s="1" t="n">
        <v>91</v>
      </c>
      <c r="J49" s="1" t="s">
        <v>43</v>
      </c>
      <c r="K49" s="1" t="s">
        <v>395</v>
      </c>
      <c r="L49" s="1" t="n">
        <v>11.11</v>
      </c>
      <c r="M49" s="1" t="n">
        <v>8.69</v>
      </c>
      <c r="N49" s="1" t="n">
        <v>14.2</v>
      </c>
      <c r="O49" s="1" t="n">
        <v>9.59</v>
      </c>
      <c r="P49" s="1" t="n">
        <v>8.18</v>
      </c>
      <c r="Q49" s="1" t="n">
        <v>36.5</v>
      </c>
    </row>
    <row r="50" customFormat="false" ht="15.75" hidden="false" customHeight="true" outlineLevel="0" collapsed="false">
      <c r="A50" s="1" t="s">
        <v>182</v>
      </c>
      <c r="B50" s="1" t="n">
        <v>49</v>
      </c>
      <c r="C50" s="1" t="n">
        <v>11.54</v>
      </c>
      <c r="D50" s="1" t="n">
        <v>5.77</v>
      </c>
      <c r="E50" s="1" t="n">
        <v>23.08</v>
      </c>
      <c r="F50" s="1" t="n">
        <v>7.67</v>
      </c>
      <c r="G50" s="1" t="n">
        <v>28</v>
      </c>
      <c r="J50" s="1" t="s">
        <v>262</v>
      </c>
      <c r="K50" s="1" t="s">
        <v>396</v>
      </c>
      <c r="L50" s="1" t="n">
        <v>10.82</v>
      </c>
      <c r="M50" s="1" t="n">
        <v>4.25</v>
      </c>
      <c r="N50" s="1" t="n">
        <v>27.53</v>
      </c>
      <c r="O50" s="1" t="n">
        <v>30.76</v>
      </c>
      <c r="P50" s="1" t="n">
        <v>14.51</v>
      </c>
      <c r="Q50" s="1" t="n">
        <v>46.73</v>
      </c>
    </row>
    <row r="51" customFormat="false" ht="15.75" hidden="false" customHeight="true" outlineLevel="0" collapsed="false">
      <c r="A51" s="1" t="s">
        <v>188</v>
      </c>
      <c r="B51" s="1" t="n">
        <v>50</v>
      </c>
      <c r="C51" s="1" t="n">
        <v>11.06</v>
      </c>
      <c r="D51" s="1" t="n">
        <v>2.77</v>
      </c>
      <c r="E51" s="1" t="n">
        <v>44.17</v>
      </c>
      <c r="F51" s="1" t="n">
        <v>0.66</v>
      </c>
      <c r="G51" s="1" t="n">
        <v>95</v>
      </c>
      <c r="J51" s="1" t="s">
        <v>38</v>
      </c>
      <c r="K51" s="1" t="s">
        <v>397</v>
      </c>
      <c r="L51" s="1" t="n">
        <v>10.59</v>
      </c>
      <c r="M51" s="1" t="n">
        <v>9.96</v>
      </c>
      <c r="N51" s="1" t="n">
        <v>11.26</v>
      </c>
      <c r="O51" s="1" t="n">
        <v>7.13</v>
      </c>
      <c r="P51" s="1" t="n">
        <v>8.11</v>
      </c>
      <c r="Q51" s="1" t="n">
        <v>24.66</v>
      </c>
    </row>
    <row r="52" customFormat="false" ht="15.75" hidden="false" customHeight="true" outlineLevel="0" collapsed="false">
      <c r="A52" s="1" t="s">
        <v>43</v>
      </c>
      <c r="B52" s="1" t="n">
        <v>51</v>
      </c>
      <c r="C52" s="1" t="n">
        <v>10.98</v>
      </c>
      <c r="D52" s="1" t="n">
        <v>8.86</v>
      </c>
      <c r="E52" s="1" t="n">
        <v>13.6</v>
      </c>
      <c r="F52" s="1" t="n">
        <v>0.37</v>
      </c>
      <c r="G52" s="1" t="n">
        <v>156</v>
      </c>
      <c r="J52" s="1" t="s">
        <v>94</v>
      </c>
      <c r="K52" s="1" t="s">
        <v>398</v>
      </c>
      <c r="L52" s="1" t="n">
        <v>10.43</v>
      </c>
      <c r="M52" s="1" t="n">
        <v>7.63</v>
      </c>
      <c r="N52" s="1" t="n">
        <v>14.25</v>
      </c>
      <c r="O52" s="1" t="n">
        <v>19.74</v>
      </c>
      <c r="P52" s="1" t="n">
        <v>11.68</v>
      </c>
      <c r="Q52" s="1" t="n">
        <v>12.55</v>
      </c>
    </row>
    <row r="53" customFormat="false" ht="15.75" hidden="false" customHeight="true" outlineLevel="0" collapsed="false">
      <c r="A53" s="1" t="s">
        <v>145</v>
      </c>
      <c r="B53" s="1" t="n">
        <v>52</v>
      </c>
      <c r="C53" s="1" t="n">
        <v>10.85</v>
      </c>
      <c r="D53" s="1" t="n">
        <v>2.31</v>
      </c>
      <c r="E53" s="1" t="n">
        <v>50.99</v>
      </c>
      <c r="F53" s="1" t="n">
        <v>0.71</v>
      </c>
      <c r="G53" s="1" t="n">
        <v>92</v>
      </c>
      <c r="J53" s="1" t="s">
        <v>145</v>
      </c>
      <c r="K53" s="1" t="s">
        <v>399</v>
      </c>
      <c r="L53" s="1" t="n">
        <v>10.42</v>
      </c>
      <c r="M53" s="1" t="n">
        <v>2.37</v>
      </c>
      <c r="N53" s="1" t="n">
        <v>45.83</v>
      </c>
      <c r="O53" s="1" t="n">
        <v>25.01</v>
      </c>
      <c r="P53" s="1" t="n">
        <v>56.87</v>
      </c>
      <c r="Q53" s="1" t="n">
        <v>67.7</v>
      </c>
    </row>
    <row r="54" customFormat="false" ht="15.75" hidden="false" customHeight="true" outlineLevel="0" collapsed="false">
      <c r="A54" s="1" t="s">
        <v>125</v>
      </c>
      <c r="B54" s="1" t="n">
        <v>53</v>
      </c>
      <c r="C54" s="1" t="n">
        <v>10.76</v>
      </c>
      <c r="D54" s="1" t="n">
        <v>1.69</v>
      </c>
      <c r="E54" s="1" t="n">
        <v>68.53</v>
      </c>
      <c r="F54" s="1" t="n">
        <v>0.83</v>
      </c>
      <c r="G54" s="1" t="n">
        <v>73</v>
      </c>
      <c r="J54" s="1" t="s">
        <v>191</v>
      </c>
      <c r="K54" s="1" t="s">
        <v>400</v>
      </c>
      <c r="L54" s="1" t="n">
        <v>10.3</v>
      </c>
      <c r="M54" s="1" t="n">
        <v>1.65</v>
      </c>
      <c r="N54" s="1" t="n">
        <v>64.26</v>
      </c>
      <c r="O54" s="1" t="n">
        <v>57.29</v>
      </c>
      <c r="P54" s="1" t="n">
        <v>66.87</v>
      </c>
      <c r="Q54" s="1" t="n">
        <v>69.28</v>
      </c>
    </row>
    <row r="55" customFormat="false" ht="15.75" hidden="false" customHeight="true" outlineLevel="0" collapsed="false">
      <c r="A55" s="1" t="s">
        <v>187</v>
      </c>
      <c r="B55" s="1" t="n">
        <v>54</v>
      </c>
      <c r="C55" s="1" t="n">
        <v>10.37</v>
      </c>
      <c r="D55" s="1" t="n">
        <v>6.84</v>
      </c>
      <c r="E55" s="1" t="n">
        <v>15.73</v>
      </c>
      <c r="F55" s="1" t="n">
        <v>7.11</v>
      </c>
      <c r="G55" s="1" t="n">
        <v>34</v>
      </c>
      <c r="J55" s="1" t="s">
        <v>216</v>
      </c>
      <c r="K55" s="1" t="s">
        <v>401</v>
      </c>
      <c r="L55" s="1" t="n">
        <v>9.96</v>
      </c>
      <c r="M55" s="1" t="n">
        <v>2.78</v>
      </c>
      <c r="N55" s="1" t="n">
        <v>35.71</v>
      </c>
      <c r="O55" s="1" t="n">
        <v>44.06</v>
      </c>
      <c r="P55" s="1" t="n">
        <v>14.65</v>
      </c>
      <c r="Q55" s="1" t="n">
        <v>70.55</v>
      </c>
    </row>
    <row r="56" customFormat="false" ht="15.75" hidden="false" customHeight="true" outlineLevel="0" collapsed="false">
      <c r="A56" s="1" t="s">
        <v>38</v>
      </c>
      <c r="B56" s="1" t="n">
        <v>55</v>
      </c>
      <c r="C56" s="1" t="n">
        <v>10.2</v>
      </c>
      <c r="D56" s="1" t="n">
        <v>9.83</v>
      </c>
      <c r="E56" s="1" t="n">
        <v>10.58</v>
      </c>
      <c r="F56" s="1" t="n">
        <v>28.04</v>
      </c>
      <c r="G56" s="1" t="n">
        <v>9</v>
      </c>
      <c r="J56" s="1" t="s">
        <v>101</v>
      </c>
      <c r="K56" s="1" t="s">
        <v>402</v>
      </c>
      <c r="L56" s="1" t="n">
        <v>9.91</v>
      </c>
      <c r="M56" s="1" t="n">
        <v>2.88</v>
      </c>
      <c r="N56" s="1" t="n">
        <v>34.11</v>
      </c>
      <c r="O56" s="1" t="n">
        <v>21.04</v>
      </c>
      <c r="P56" s="1" t="n">
        <v>44.02</v>
      </c>
      <c r="Q56" s="1" t="n">
        <v>42.85</v>
      </c>
    </row>
    <row r="57" customFormat="false" ht="15.75" hidden="false" customHeight="true" outlineLevel="0" collapsed="false">
      <c r="A57" s="1" t="s">
        <v>59</v>
      </c>
      <c r="B57" s="1" t="n">
        <v>56</v>
      </c>
      <c r="C57" s="1" t="n">
        <v>10.1</v>
      </c>
      <c r="D57" s="1" t="n">
        <v>8.14</v>
      </c>
      <c r="E57" s="1" t="n">
        <v>12.53</v>
      </c>
      <c r="F57" s="1" t="n">
        <v>0.35</v>
      </c>
      <c r="G57" s="1" t="n">
        <v>159</v>
      </c>
      <c r="J57" s="1" t="s">
        <v>403</v>
      </c>
      <c r="K57" s="1" t="s">
        <v>404</v>
      </c>
      <c r="L57" s="1" t="n">
        <v>9.87</v>
      </c>
      <c r="M57" s="1" t="n">
        <v>1.37</v>
      </c>
      <c r="N57" s="1" t="n">
        <v>71.04</v>
      </c>
      <c r="O57" s="1" t="n">
        <v>68.89</v>
      </c>
      <c r="P57" s="1" t="n">
        <v>73.82</v>
      </c>
      <c r="Q57" s="1" t="n">
        <v>70.5</v>
      </c>
    </row>
    <row r="58" customFormat="false" ht="15.75" hidden="false" customHeight="true" outlineLevel="0" collapsed="false">
      <c r="A58" s="1" t="s">
        <v>143</v>
      </c>
      <c r="B58" s="1" t="n">
        <v>57</v>
      </c>
      <c r="C58" s="1" t="n">
        <v>10.08</v>
      </c>
      <c r="D58" s="1" t="n">
        <v>1.66</v>
      </c>
      <c r="E58" s="1" t="n">
        <v>61.22</v>
      </c>
      <c r="F58" s="1" t="n">
        <v>0.78</v>
      </c>
      <c r="G58" s="1" t="n">
        <v>84</v>
      </c>
      <c r="J58" s="1" t="s">
        <v>41</v>
      </c>
      <c r="K58" s="1" t="s">
        <v>405</v>
      </c>
      <c r="L58" s="1" t="n">
        <v>9.74</v>
      </c>
      <c r="M58" s="1" t="n">
        <v>7.77</v>
      </c>
      <c r="N58" s="1" t="n">
        <v>12.21</v>
      </c>
      <c r="O58" s="1" t="n">
        <v>7.02</v>
      </c>
      <c r="P58" s="1" t="n">
        <v>7.98</v>
      </c>
      <c r="Q58" s="1" t="n">
        <v>32.46</v>
      </c>
    </row>
    <row r="59" customFormat="false" ht="15.75" hidden="false" customHeight="true" outlineLevel="0" collapsed="false">
      <c r="A59" s="1" t="s">
        <v>41</v>
      </c>
      <c r="B59" s="1" t="n">
        <v>58</v>
      </c>
      <c r="C59" s="1" t="n">
        <v>9.74</v>
      </c>
      <c r="D59" s="1" t="n">
        <v>7.54</v>
      </c>
      <c r="E59" s="1" t="n">
        <v>12.57</v>
      </c>
      <c r="F59" s="1" t="n">
        <v>0.35</v>
      </c>
      <c r="G59" s="1" t="n">
        <v>159</v>
      </c>
      <c r="J59" s="1" t="s">
        <v>103</v>
      </c>
      <c r="K59" s="1" t="s">
        <v>406</v>
      </c>
      <c r="L59" s="1" t="n">
        <v>9.64</v>
      </c>
      <c r="M59" s="1" t="n">
        <v>2.62</v>
      </c>
      <c r="N59" s="1" t="n">
        <v>35.49</v>
      </c>
      <c r="O59" s="1" t="n">
        <v>18.12</v>
      </c>
      <c r="P59" s="1" t="n">
        <v>49.06</v>
      </c>
      <c r="Q59" s="1" t="n">
        <v>50.28</v>
      </c>
    </row>
    <row r="60" customFormat="false" ht="15.75" hidden="false" customHeight="true" outlineLevel="0" collapsed="false">
      <c r="A60" s="1" t="s">
        <v>92</v>
      </c>
      <c r="B60" s="1" t="n">
        <v>59</v>
      </c>
      <c r="C60" s="1" t="n">
        <v>9.16</v>
      </c>
      <c r="D60" s="1" t="n">
        <v>1.7</v>
      </c>
      <c r="E60" s="1" t="n">
        <v>49.4</v>
      </c>
      <c r="F60" s="1" t="n">
        <v>0.7</v>
      </c>
      <c r="G60" s="1" t="n">
        <v>93</v>
      </c>
      <c r="J60" s="1" t="s">
        <v>53</v>
      </c>
      <c r="K60" s="1" t="s">
        <v>407</v>
      </c>
      <c r="L60" s="1" t="n">
        <v>9.6</v>
      </c>
      <c r="M60" s="1" t="n">
        <v>3.13</v>
      </c>
      <c r="N60" s="1" t="n">
        <v>29.46</v>
      </c>
      <c r="O60" s="1" t="n">
        <v>38.19</v>
      </c>
      <c r="P60" s="1" t="n">
        <v>12.97</v>
      </c>
      <c r="Q60" s="1" t="n">
        <v>51.6</v>
      </c>
    </row>
    <row r="61" customFormat="false" ht="15.75" hidden="false" customHeight="true" outlineLevel="0" collapsed="false">
      <c r="A61" s="1" t="s">
        <v>160</v>
      </c>
      <c r="B61" s="1" t="n">
        <v>60</v>
      </c>
      <c r="C61" s="1" t="n">
        <v>9.08</v>
      </c>
      <c r="D61" s="1" t="n">
        <v>1.28</v>
      </c>
      <c r="E61" s="1" t="n">
        <v>64.36</v>
      </c>
      <c r="F61" s="1" t="n">
        <v>0.8</v>
      </c>
      <c r="G61" s="1" t="n">
        <v>81</v>
      </c>
      <c r="J61" s="1" t="s">
        <v>44</v>
      </c>
      <c r="K61" s="1" t="s">
        <v>408</v>
      </c>
      <c r="L61" s="1" t="n">
        <v>9.34</v>
      </c>
      <c r="M61" s="1" t="n">
        <v>5.25</v>
      </c>
      <c r="N61" s="1" t="n">
        <v>16.63</v>
      </c>
      <c r="O61" s="1" t="n">
        <v>7.84</v>
      </c>
      <c r="P61" s="1" t="n">
        <v>19.98</v>
      </c>
      <c r="Q61" s="1" t="n">
        <v>29.37</v>
      </c>
    </row>
    <row r="62" customFormat="false" ht="15.75" hidden="false" customHeight="true" outlineLevel="0" collapsed="false">
      <c r="A62" s="1" t="s">
        <v>44</v>
      </c>
      <c r="B62" s="1" t="n">
        <v>61</v>
      </c>
      <c r="C62" s="1" t="n">
        <v>9.02</v>
      </c>
      <c r="D62" s="1" t="n">
        <v>4.32</v>
      </c>
      <c r="E62" s="1" t="n">
        <v>18.82</v>
      </c>
      <c r="F62" s="1" t="n">
        <v>0.87</v>
      </c>
      <c r="G62" s="1" t="n">
        <v>70</v>
      </c>
      <c r="J62" s="1" t="s">
        <v>160</v>
      </c>
      <c r="K62" s="1" t="s">
        <v>409</v>
      </c>
      <c r="L62" s="1" t="n">
        <v>9.33</v>
      </c>
      <c r="M62" s="1" t="n">
        <v>1.32</v>
      </c>
      <c r="N62" s="1" t="n">
        <v>65.88</v>
      </c>
      <c r="O62" s="1" t="n">
        <v>59.4</v>
      </c>
      <c r="P62" s="1" t="n">
        <v>67.9</v>
      </c>
      <c r="Q62" s="1" t="n">
        <v>70.89</v>
      </c>
    </row>
    <row r="63" customFormat="false" ht="15.75" hidden="false" customHeight="true" outlineLevel="0" collapsed="false">
      <c r="A63" s="1" t="s">
        <v>33</v>
      </c>
      <c r="B63" s="1" t="n">
        <v>62</v>
      </c>
      <c r="C63" s="1" t="n">
        <v>8.53</v>
      </c>
      <c r="D63" s="1" t="n">
        <v>4.72</v>
      </c>
      <c r="E63" s="1" t="n">
        <v>15.42</v>
      </c>
      <c r="F63" s="1" t="n">
        <v>1.47</v>
      </c>
      <c r="G63" s="1" t="n">
        <v>64</v>
      </c>
      <c r="J63" s="1" t="s">
        <v>188</v>
      </c>
      <c r="K63" s="1" t="s">
        <v>410</v>
      </c>
      <c r="L63" s="1" t="n">
        <v>9.32</v>
      </c>
      <c r="M63" s="1" t="n">
        <v>2.91</v>
      </c>
      <c r="N63" s="1" t="n">
        <v>29.85</v>
      </c>
      <c r="O63" s="1" t="n">
        <v>29.75</v>
      </c>
      <c r="P63" s="1" t="n">
        <v>14.55</v>
      </c>
      <c r="Q63" s="1" t="n">
        <v>61.47</v>
      </c>
    </row>
    <row r="64" customFormat="false" ht="15.75" hidden="false" customHeight="true" outlineLevel="0" collapsed="false">
      <c r="A64" s="1" t="s">
        <v>37</v>
      </c>
      <c r="B64" s="1" t="n">
        <v>63</v>
      </c>
      <c r="C64" s="1" t="n">
        <v>8.46</v>
      </c>
      <c r="D64" s="1" t="n">
        <v>7.04</v>
      </c>
      <c r="E64" s="1" t="n">
        <v>10.17</v>
      </c>
      <c r="F64" s="1" t="n">
        <v>1.28</v>
      </c>
      <c r="G64" s="1" t="n">
        <v>68</v>
      </c>
      <c r="J64" s="1" t="s">
        <v>92</v>
      </c>
      <c r="K64" s="1" t="s">
        <v>411</v>
      </c>
      <c r="L64" s="1" t="n">
        <v>9.24</v>
      </c>
      <c r="M64" s="1" t="n">
        <v>1.72</v>
      </c>
      <c r="N64" s="1" t="n">
        <v>49.67</v>
      </c>
      <c r="O64" s="1" t="n">
        <v>38.42</v>
      </c>
      <c r="P64" s="1" t="n">
        <v>66.13</v>
      </c>
      <c r="Q64" s="1" t="n">
        <v>48.24</v>
      </c>
    </row>
    <row r="65" customFormat="false" ht="15.75" hidden="false" customHeight="true" outlineLevel="0" collapsed="false">
      <c r="A65" s="1" t="s">
        <v>152</v>
      </c>
      <c r="B65" s="1" t="n">
        <v>64</v>
      </c>
      <c r="C65" s="1" t="n">
        <v>8.1</v>
      </c>
      <c r="D65" s="1" t="n">
        <v>2.48</v>
      </c>
      <c r="E65" s="1" t="n">
        <v>26.45</v>
      </c>
      <c r="F65" s="1" t="n">
        <v>8.34</v>
      </c>
      <c r="G65" s="1" t="n">
        <v>26</v>
      </c>
      <c r="J65" s="1" t="s">
        <v>59</v>
      </c>
      <c r="K65" s="1" t="s">
        <v>412</v>
      </c>
      <c r="L65" s="1" t="n">
        <v>8.61</v>
      </c>
      <c r="M65" s="1" t="n">
        <v>8.25</v>
      </c>
      <c r="N65" s="1" t="n">
        <v>8.98</v>
      </c>
      <c r="O65" s="1" t="n">
        <v>8.6</v>
      </c>
      <c r="P65" s="1" t="n">
        <v>8.87</v>
      </c>
      <c r="Q65" s="1" t="n">
        <v>9.49</v>
      </c>
    </row>
    <row r="66" customFormat="false" ht="15.75" hidden="false" customHeight="true" outlineLevel="0" collapsed="false">
      <c r="A66" s="1" t="s">
        <v>413</v>
      </c>
      <c r="B66" s="1" t="n">
        <v>65</v>
      </c>
      <c r="C66" s="1" t="n">
        <v>8.07</v>
      </c>
      <c r="D66" s="1" t="n">
        <v>3.54</v>
      </c>
      <c r="E66" s="1" t="n">
        <v>18.4</v>
      </c>
      <c r="F66" s="1" t="n">
        <v>30.25</v>
      </c>
      <c r="G66" s="1" t="n">
        <v>7</v>
      </c>
      <c r="J66" s="1" t="s">
        <v>152</v>
      </c>
      <c r="K66" s="1" t="s">
        <v>414</v>
      </c>
      <c r="L66" s="1" t="n">
        <v>8.15</v>
      </c>
      <c r="M66" s="1" t="n">
        <v>2.47</v>
      </c>
      <c r="N66" s="1" t="n">
        <v>26.92</v>
      </c>
      <c r="O66" s="1" t="n">
        <v>29.55</v>
      </c>
      <c r="P66" s="1" t="n">
        <v>13.71</v>
      </c>
      <c r="Q66" s="1" t="n">
        <v>48.14</v>
      </c>
    </row>
    <row r="67" customFormat="false" ht="15.75" hidden="false" customHeight="true" outlineLevel="0" collapsed="false">
      <c r="A67" s="1" t="s">
        <v>103</v>
      </c>
      <c r="B67" s="1" t="n">
        <v>66</v>
      </c>
      <c r="C67" s="1" t="n">
        <v>7.96</v>
      </c>
      <c r="D67" s="1" t="n">
        <v>3.07</v>
      </c>
      <c r="E67" s="1" t="n">
        <v>20.64</v>
      </c>
      <c r="F67" s="1" t="n">
        <v>0.45</v>
      </c>
      <c r="G67" s="1" t="n">
        <v>133</v>
      </c>
      <c r="J67" s="1" t="s">
        <v>37</v>
      </c>
      <c r="K67" s="1" t="s">
        <v>415</v>
      </c>
      <c r="L67" s="1" t="n">
        <v>8.06</v>
      </c>
      <c r="M67" s="1" t="n">
        <v>6.68</v>
      </c>
      <c r="N67" s="1" t="n">
        <v>9.72</v>
      </c>
      <c r="O67" s="1" t="n">
        <v>10.12</v>
      </c>
      <c r="P67" s="1" t="n">
        <v>4.82</v>
      </c>
      <c r="Q67" s="1" t="n">
        <v>18.84</v>
      </c>
    </row>
    <row r="68" customFormat="false" ht="15.75" hidden="false" customHeight="true" outlineLevel="0" collapsed="false">
      <c r="A68" s="1" t="s">
        <v>101</v>
      </c>
      <c r="B68" s="1" t="n">
        <v>67</v>
      </c>
      <c r="C68" s="1" t="n">
        <v>7.74</v>
      </c>
      <c r="D68" s="1" t="n">
        <v>3.45</v>
      </c>
      <c r="E68" s="1" t="n">
        <v>17.35</v>
      </c>
      <c r="F68" s="1" t="n">
        <v>0.42</v>
      </c>
      <c r="G68" s="1" t="n">
        <v>141</v>
      </c>
      <c r="J68" s="1" t="s">
        <v>137</v>
      </c>
      <c r="K68" s="1" t="s">
        <v>416</v>
      </c>
      <c r="L68" s="1" t="n">
        <v>7.97</v>
      </c>
      <c r="M68" s="1" t="n">
        <v>2.5</v>
      </c>
      <c r="N68" s="1" t="n">
        <v>25.44</v>
      </c>
      <c r="O68" s="1" t="n">
        <v>27.78</v>
      </c>
      <c r="P68" s="1" t="n">
        <v>12.61</v>
      </c>
      <c r="Q68" s="1" t="n">
        <v>47.02</v>
      </c>
    </row>
    <row r="69" customFormat="false" ht="15.75" hidden="false" customHeight="true" outlineLevel="0" collapsed="false">
      <c r="A69" s="1" t="s">
        <v>109</v>
      </c>
      <c r="B69" s="1" t="n">
        <v>68</v>
      </c>
      <c r="C69" s="1" t="n">
        <v>7.57</v>
      </c>
      <c r="D69" s="1" t="n">
        <v>2.35</v>
      </c>
      <c r="E69" s="1" t="n">
        <v>24.41</v>
      </c>
      <c r="F69" s="1" t="n">
        <v>1.98</v>
      </c>
      <c r="G69" s="1" t="n">
        <v>58</v>
      </c>
      <c r="J69" s="1" t="s">
        <v>113</v>
      </c>
      <c r="K69" s="1" t="s">
        <v>417</v>
      </c>
      <c r="L69" s="1" t="n">
        <v>7.8</v>
      </c>
      <c r="M69" s="1" t="n">
        <v>4.57</v>
      </c>
      <c r="N69" s="1" t="n">
        <v>13.31</v>
      </c>
      <c r="O69" s="1" t="n">
        <v>13.12</v>
      </c>
      <c r="P69" s="1" t="n">
        <v>10.24</v>
      </c>
      <c r="Q69" s="1" t="n">
        <v>17.54</v>
      </c>
    </row>
    <row r="70" customFormat="false" ht="15.75" hidden="false" customHeight="true" outlineLevel="0" collapsed="false">
      <c r="A70" s="1" t="s">
        <v>141</v>
      </c>
      <c r="B70" s="1" t="n">
        <v>69</v>
      </c>
      <c r="C70" s="1" t="n">
        <v>7.51</v>
      </c>
      <c r="D70" s="1" t="n">
        <v>2.83</v>
      </c>
      <c r="E70" s="1" t="n">
        <v>19.95</v>
      </c>
      <c r="F70" s="1" t="n">
        <v>7.26</v>
      </c>
      <c r="G70" s="1" t="n">
        <v>33</v>
      </c>
      <c r="J70" s="1" t="s">
        <v>284</v>
      </c>
      <c r="K70" s="1" t="s">
        <v>418</v>
      </c>
      <c r="L70" s="1" t="n">
        <v>7.55</v>
      </c>
      <c r="M70" s="1" t="n">
        <v>2.93</v>
      </c>
      <c r="N70" s="1" t="n">
        <v>19.46</v>
      </c>
      <c r="O70" s="1" t="n">
        <v>10.71</v>
      </c>
      <c r="P70" s="1" t="n">
        <v>12.45</v>
      </c>
      <c r="Q70" s="1" t="n">
        <v>55.27</v>
      </c>
    </row>
    <row r="71" customFormat="false" ht="15.75" hidden="false" customHeight="true" outlineLevel="0" collapsed="false">
      <c r="A71" s="1" t="s">
        <v>191</v>
      </c>
      <c r="B71" s="1" t="n">
        <v>70</v>
      </c>
      <c r="C71" s="1" t="n">
        <v>7.34</v>
      </c>
      <c r="D71" s="1" t="n">
        <v>0.78</v>
      </c>
      <c r="E71" s="1" t="n">
        <v>69.03</v>
      </c>
      <c r="F71" s="1" t="n">
        <v>0.83</v>
      </c>
      <c r="G71" s="1" t="n">
        <v>73</v>
      </c>
      <c r="J71" s="1" t="s">
        <v>34</v>
      </c>
      <c r="K71" s="1" t="s">
        <v>419</v>
      </c>
      <c r="L71" s="1" t="n">
        <v>7.54</v>
      </c>
      <c r="M71" s="1" t="n">
        <v>2.7</v>
      </c>
      <c r="N71" s="1" t="n">
        <v>21.03</v>
      </c>
      <c r="O71" s="1" t="n">
        <v>8.69</v>
      </c>
      <c r="P71" s="1" t="n">
        <v>30.55</v>
      </c>
      <c r="Q71" s="1" t="n">
        <v>35.03</v>
      </c>
    </row>
    <row r="72" customFormat="false" ht="15.75" hidden="false" customHeight="true" outlineLevel="0" collapsed="false">
      <c r="A72" s="1" t="s">
        <v>146</v>
      </c>
      <c r="B72" s="1" t="n">
        <v>71</v>
      </c>
      <c r="C72" s="1" t="n">
        <v>7.15</v>
      </c>
      <c r="D72" s="1" t="n">
        <v>1.87</v>
      </c>
      <c r="E72" s="1" t="n">
        <v>27.33</v>
      </c>
      <c r="F72" s="1" t="n">
        <v>0.52</v>
      </c>
      <c r="G72" s="1" t="n">
        <v>114</v>
      </c>
      <c r="J72" s="1" t="s">
        <v>228</v>
      </c>
      <c r="K72" s="1" t="s">
        <v>420</v>
      </c>
      <c r="L72" s="1" t="n">
        <v>7.47</v>
      </c>
      <c r="M72" s="1" t="n">
        <v>2.3</v>
      </c>
      <c r="N72" s="1" t="n">
        <v>24.26</v>
      </c>
      <c r="O72" s="1" t="n">
        <v>18.3</v>
      </c>
      <c r="P72" s="1" t="n">
        <v>14.67</v>
      </c>
      <c r="Q72" s="1" t="n">
        <v>53.2</v>
      </c>
    </row>
    <row r="73" customFormat="false" ht="15.75" hidden="false" customHeight="true" outlineLevel="0" collapsed="false">
      <c r="A73" s="1" t="s">
        <v>266</v>
      </c>
      <c r="B73" s="1" t="n">
        <v>72</v>
      </c>
      <c r="C73" s="1" t="n">
        <v>6.73</v>
      </c>
      <c r="D73" s="1" t="n">
        <v>1.44</v>
      </c>
      <c r="E73" s="1" t="n">
        <v>31.43</v>
      </c>
      <c r="F73" s="1" t="n">
        <v>0.56</v>
      </c>
      <c r="G73" s="1" t="n">
        <v>103</v>
      </c>
      <c r="J73" s="1" t="s">
        <v>127</v>
      </c>
      <c r="K73" s="1" t="s">
        <v>421</v>
      </c>
      <c r="L73" s="1" t="n">
        <v>7.35</v>
      </c>
      <c r="M73" s="1" t="n">
        <v>2.63</v>
      </c>
      <c r="N73" s="1" t="n">
        <v>20.55</v>
      </c>
      <c r="O73" s="1" t="n">
        <v>18.39</v>
      </c>
      <c r="P73" s="1" t="n">
        <v>11.67</v>
      </c>
      <c r="Q73" s="1" t="n">
        <v>40.44</v>
      </c>
    </row>
    <row r="74" customFormat="false" ht="15.75" hidden="false" customHeight="true" outlineLevel="0" collapsed="false">
      <c r="A74" s="1" t="s">
        <v>113</v>
      </c>
      <c r="B74" s="1" t="n">
        <v>73</v>
      </c>
      <c r="C74" s="1" t="n">
        <v>6.61</v>
      </c>
      <c r="D74" s="1" t="n">
        <v>3.45</v>
      </c>
      <c r="E74" s="1" t="n">
        <v>12.66</v>
      </c>
      <c r="F74" s="1" t="n">
        <v>6.69</v>
      </c>
      <c r="G74" s="1" t="n">
        <v>37</v>
      </c>
      <c r="J74" s="1" t="s">
        <v>140</v>
      </c>
      <c r="K74" s="1" t="s">
        <v>422</v>
      </c>
      <c r="L74" s="1" t="n">
        <v>6.76</v>
      </c>
      <c r="M74" s="1" t="n">
        <v>1.78</v>
      </c>
      <c r="N74" s="1" t="n">
        <v>25.7</v>
      </c>
      <c r="O74" s="1" t="n">
        <v>26.73</v>
      </c>
      <c r="P74" s="1" t="n">
        <v>11.45</v>
      </c>
      <c r="Q74" s="1" t="n">
        <v>55.45</v>
      </c>
    </row>
    <row r="75" customFormat="false" ht="15.75" hidden="false" customHeight="true" outlineLevel="0" collapsed="false">
      <c r="A75" s="1" t="s">
        <v>264</v>
      </c>
      <c r="B75" s="1" t="n">
        <v>74</v>
      </c>
      <c r="C75" s="1" t="n">
        <v>6.3</v>
      </c>
      <c r="D75" s="1" t="n">
        <v>1.56</v>
      </c>
      <c r="E75" s="1" t="n">
        <v>25.47</v>
      </c>
      <c r="F75" s="1" t="n">
        <v>0.5</v>
      </c>
      <c r="G75" s="1" t="n">
        <v>116</v>
      </c>
      <c r="J75" s="1" t="s">
        <v>141</v>
      </c>
      <c r="K75" s="1" t="s">
        <v>423</v>
      </c>
      <c r="L75" s="1" t="n">
        <v>6.7</v>
      </c>
      <c r="M75" s="1" t="n">
        <v>2.79</v>
      </c>
      <c r="N75" s="1" t="n">
        <v>16.07</v>
      </c>
      <c r="O75" s="1" t="n">
        <v>20.62</v>
      </c>
      <c r="P75" s="1" t="n">
        <v>11.55</v>
      </c>
      <c r="Q75" s="1" t="n">
        <v>17.43</v>
      </c>
    </row>
    <row r="76" customFormat="false" ht="15.75" hidden="false" customHeight="true" outlineLevel="0" collapsed="false">
      <c r="A76" s="1" t="s">
        <v>140</v>
      </c>
      <c r="B76" s="1" t="n">
        <v>75</v>
      </c>
      <c r="C76" s="1" t="n">
        <v>6.26</v>
      </c>
      <c r="D76" s="1" t="n">
        <v>1.82</v>
      </c>
      <c r="E76" s="1" t="n">
        <v>21.53</v>
      </c>
      <c r="F76" s="1" t="n">
        <v>0.46</v>
      </c>
      <c r="G76" s="1" t="n">
        <v>130</v>
      </c>
      <c r="J76" s="1" t="s">
        <v>266</v>
      </c>
      <c r="K76" s="1" t="s">
        <v>424</v>
      </c>
      <c r="L76" s="1" t="n">
        <v>6.55</v>
      </c>
      <c r="M76" s="1" t="n">
        <v>1.47</v>
      </c>
      <c r="N76" s="1" t="n">
        <v>29.17</v>
      </c>
      <c r="O76" s="1" t="n">
        <v>23.61</v>
      </c>
      <c r="P76" s="1" t="n">
        <v>14.68</v>
      </c>
      <c r="Q76" s="1" t="n">
        <v>71.64</v>
      </c>
    </row>
    <row r="77" customFormat="false" ht="15.75" hidden="false" customHeight="true" outlineLevel="0" collapsed="false">
      <c r="A77" s="1" t="s">
        <v>228</v>
      </c>
      <c r="B77" s="1" t="n">
        <v>76</v>
      </c>
      <c r="C77" s="1" t="n">
        <v>6.2</v>
      </c>
      <c r="D77" s="1" t="n">
        <v>1.78</v>
      </c>
      <c r="E77" s="1" t="n">
        <v>21.6</v>
      </c>
      <c r="F77" s="1" t="n">
        <v>0.46</v>
      </c>
      <c r="G77" s="1" t="n">
        <v>130</v>
      </c>
      <c r="J77" s="1" t="s">
        <v>76</v>
      </c>
      <c r="K77" s="1" t="s">
        <v>425</v>
      </c>
      <c r="L77" s="1" t="n">
        <v>6.24</v>
      </c>
      <c r="M77" s="1" t="n">
        <v>2.29</v>
      </c>
      <c r="N77" s="1" t="n">
        <v>17.01</v>
      </c>
      <c r="O77" s="1" t="n">
        <v>11.61</v>
      </c>
      <c r="P77" s="1" t="n">
        <v>11.1</v>
      </c>
      <c r="Q77" s="1" t="n">
        <v>38.18</v>
      </c>
    </row>
    <row r="78" customFormat="false" ht="15.75" hidden="false" customHeight="true" outlineLevel="0" collapsed="false">
      <c r="A78" s="1" t="s">
        <v>262</v>
      </c>
      <c r="B78" s="1" t="n">
        <v>77</v>
      </c>
      <c r="C78" s="1" t="n">
        <v>6.14</v>
      </c>
      <c r="D78" s="1" t="n">
        <v>1.35</v>
      </c>
      <c r="E78" s="1" t="n">
        <v>27.95</v>
      </c>
      <c r="F78" s="1" t="n">
        <v>0.53</v>
      </c>
      <c r="G78" s="1" t="n">
        <v>112</v>
      </c>
      <c r="J78" s="1" t="s">
        <v>109</v>
      </c>
      <c r="K78" s="1" t="s">
        <v>426</v>
      </c>
      <c r="L78" s="1" t="n">
        <v>6.16</v>
      </c>
      <c r="M78" s="1" t="n">
        <v>1.6</v>
      </c>
      <c r="N78" s="1" t="n">
        <v>23.75</v>
      </c>
      <c r="O78" s="1" t="n">
        <v>24.65</v>
      </c>
      <c r="P78" s="1" t="n">
        <v>12.28</v>
      </c>
      <c r="Q78" s="1" t="n">
        <v>44.28</v>
      </c>
    </row>
    <row r="79" customFormat="false" ht="15.75" hidden="false" customHeight="true" outlineLevel="0" collapsed="false">
      <c r="A79" s="1" t="s">
        <v>34</v>
      </c>
      <c r="B79" s="1" t="n">
        <v>78</v>
      </c>
      <c r="C79" s="1" t="n">
        <v>5.92</v>
      </c>
      <c r="D79" s="1" t="n">
        <v>2.63</v>
      </c>
      <c r="E79" s="1" t="n">
        <v>13.33</v>
      </c>
      <c r="F79" s="1" t="n">
        <v>0.37</v>
      </c>
      <c r="G79" s="1" t="n">
        <v>156</v>
      </c>
      <c r="J79" s="1" t="s">
        <v>196</v>
      </c>
      <c r="K79" s="1" t="s">
        <v>427</v>
      </c>
      <c r="L79" s="1" t="n">
        <v>5.72</v>
      </c>
      <c r="M79" s="1" t="n">
        <v>1.09</v>
      </c>
      <c r="N79" s="1" t="n">
        <v>29.97</v>
      </c>
      <c r="O79" s="1" t="n">
        <v>32.02</v>
      </c>
      <c r="P79" s="1" t="n">
        <v>12.94</v>
      </c>
      <c r="Q79" s="1" t="n">
        <v>64.95</v>
      </c>
    </row>
    <row r="80" customFormat="false" ht="15.75" hidden="false" customHeight="true" outlineLevel="0" collapsed="false">
      <c r="A80" s="1" t="s">
        <v>137</v>
      </c>
      <c r="B80" s="1" t="n">
        <v>79</v>
      </c>
      <c r="C80" s="1" t="n">
        <v>5.9</v>
      </c>
      <c r="D80" s="1" t="n">
        <v>1.4</v>
      </c>
      <c r="E80" s="1" t="n">
        <v>24.89</v>
      </c>
      <c r="F80" s="1" t="n">
        <v>8.32</v>
      </c>
      <c r="G80" s="1" t="n">
        <v>27</v>
      </c>
      <c r="J80" s="1" t="s">
        <v>23</v>
      </c>
      <c r="K80" s="1" t="s">
        <v>428</v>
      </c>
      <c r="L80" s="1" t="n">
        <v>5.7</v>
      </c>
      <c r="M80" s="1" t="n">
        <v>2.58</v>
      </c>
      <c r="N80" s="1" t="n">
        <v>12.59</v>
      </c>
      <c r="O80" s="1" t="n">
        <v>6.67</v>
      </c>
      <c r="P80" s="1" t="n">
        <v>7.76</v>
      </c>
      <c r="Q80" s="1" t="n">
        <v>38.6</v>
      </c>
    </row>
    <row r="81" customFormat="false" ht="15.75" hidden="false" customHeight="true" outlineLevel="0" collapsed="false">
      <c r="A81" s="1" t="s">
        <v>131</v>
      </c>
      <c r="B81" s="1" t="n">
        <v>80</v>
      </c>
      <c r="C81" s="1" t="n">
        <v>5.86</v>
      </c>
      <c r="D81" s="1" t="n">
        <v>1.05</v>
      </c>
      <c r="E81" s="1" t="n">
        <v>32.69</v>
      </c>
      <c r="F81" s="1" t="n">
        <v>0.57</v>
      </c>
      <c r="G81" s="1" t="n">
        <v>102</v>
      </c>
      <c r="J81" s="1" t="s">
        <v>131</v>
      </c>
      <c r="K81" s="1" t="s">
        <v>429</v>
      </c>
      <c r="L81" s="1" t="n">
        <v>5.66</v>
      </c>
      <c r="M81" s="1" t="n">
        <v>1.05</v>
      </c>
      <c r="N81" s="1" t="n">
        <v>30.5</v>
      </c>
      <c r="O81" s="1" t="n">
        <v>39.77</v>
      </c>
      <c r="P81" s="1" t="n">
        <v>12.47</v>
      </c>
      <c r="Q81" s="1" t="n">
        <v>57.21</v>
      </c>
    </row>
    <row r="82" customFormat="false" ht="15.75" hidden="false" customHeight="true" outlineLevel="0" collapsed="false">
      <c r="A82" s="1" t="s">
        <v>76</v>
      </c>
      <c r="B82" s="1" t="n">
        <v>81</v>
      </c>
      <c r="C82" s="1" t="n">
        <v>5.79</v>
      </c>
      <c r="D82" s="1" t="n">
        <v>2.28</v>
      </c>
      <c r="E82" s="1" t="n">
        <v>14.72</v>
      </c>
      <c r="F82" s="1" t="n">
        <v>0.38</v>
      </c>
      <c r="G82" s="1" t="n">
        <v>151</v>
      </c>
      <c r="J82" s="1" t="s">
        <v>430</v>
      </c>
      <c r="K82" s="1" t="s">
        <v>431</v>
      </c>
      <c r="L82" s="1" t="n">
        <v>5.49</v>
      </c>
      <c r="M82" s="1" t="n">
        <v>0.57</v>
      </c>
      <c r="N82" s="1" t="n">
        <v>52.84</v>
      </c>
      <c r="O82" s="1" t="n">
        <v>45.68</v>
      </c>
      <c r="P82" s="1" t="n">
        <v>57.13</v>
      </c>
      <c r="Q82" s="1" t="n">
        <v>56.52</v>
      </c>
    </row>
    <row r="83" customFormat="false" ht="15.75" hidden="false" customHeight="true" outlineLevel="0" collapsed="false">
      <c r="A83" s="1" t="s">
        <v>51</v>
      </c>
      <c r="B83" s="1" t="n">
        <v>82</v>
      </c>
      <c r="C83" s="1" t="n">
        <v>5.77</v>
      </c>
      <c r="D83" s="1" t="n">
        <v>1.67</v>
      </c>
      <c r="E83" s="1" t="n">
        <v>19.96</v>
      </c>
      <c r="F83" s="1" t="n">
        <v>0.45</v>
      </c>
      <c r="G83" s="1" t="n">
        <v>133</v>
      </c>
      <c r="J83" s="1" t="s">
        <v>146</v>
      </c>
      <c r="K83" s="1" t="s">
        <v>432</v>
      </c>
      <c r="L83" s="1" t="n">
        <v>5.4</v>
      </c>
      <c r="M83" s="1" t="n">
        <v>1.32</v>
      </c>
      <c r="N83" s="1" t="n">
        <v>22.12</v>
      </c>
      <c r="O83" s="1" t="n">
        <v>17.99</v>
      </c>
      <c r="P83" s="1" t="n">
        <v>11.12</v>
      </c>
      <c r="Q83" s="1" t="n">
        <v>54.08</v>
      </c>
    </row>
    <row r="84" customFormat="false" ht="15.75" hidden="false" customHeight="true" outlineLevel="0" collapsed="false">
      <c r="A84" s="1" t="s">
        <v>127</v>
      </c>
      <c r="B84" s="1" t="n">
        <v>83</v>
      </c>
      <c r="C84" s="1" t="n">
        <v>5.71</v>
      </c>
      <c r="D84" s="1" t="n">
        <v>2.2</v>
      </c>
      <c r="E84" s="1" t="n">
        <v>14.83</v>
      </c>
      <c r="F84" s="1" t="n">
        <v>0.39</v>
      </c>
      <c r="G84" s="1" t="n">
        <v>148</v>
      </c>
      <c r="J84" s="1" t="s">
        <v>30</v>
      </c>
      <c r="K84" s="1" t="s">
        <v>433</v>
      </c>
      <c r="L84" s="1" t="n">
        <v>5.1</v>
      </c>
      <c r="M84" s="1" t="n">
        <v>1.84</v>
      </c>
      <c r="N84" s="1" t="n">
        <v>14.13</v>
      </c>
      <c r="O84" s="1" t="n">
        <v>5.93</v>
      </c>
      <c r="P84" s="1" t="n">
        <v>18.56</v>
      </c>
      <c r="Q84" s="1" t="n">
        <v>25.62</v>
      </c>
    </row>
    <row r="85" customFormat="false" ht="15.75" hidden="false" customHeight="true" outlineLevel="0" collapsed="false">
      <c r="A85" s="1" t="s">
        <v>186</v>
      </c>
      <c r="B85" s="1" t="n">
        <v>84</v>
      </c>
      <c r="C85" s="1" t="n">
        <v>5.65</v>
      </c>
      <c r="D85" s="1" t="n">
        <v>2.72</v>
      </c>
      <c r="E85" s="1" t="n">
        <v>11.72</v>
      </c>
      <c r="F85" s="1" t="n">
        <v>6.11</v>
      </c>
      <c r="G85" s="1" t="n">
        <v>42</v>
      </c>
      <c r="J85" s="1" t="s">
        <v>264</v>
      </c>
      <c r="K85" s="1" t="s">
        <v>434</v>
      </c>
      <c r="L85" s="1" t="n">
        <v>5.08</v>
      </c>
      <c r="M85" s="1" t="n">
        <v>1.5</v>
      </c>
      <c r="N85" s="1" t="n">
        <v>17.21</v>
      </c>
      <c r="O85" s="1" t="n">
        <v>15.92</v>
      </c>
      <c r="P85" s="1" t="n">
        <v>6.29</v>
      </c>
      <c r="Q85" s="1" t="n">
        <v>50.9</v>
      </c>
    </row>
    <row r="86" customFormat="false" ht="15.75" hidden="false" customHeight="true" outlineLevel="0" collapsed="false">
      <c r="A86" s="1" t="s">
        <v>132</v>
      </c>
      <c r="B86" s="1" t="n">
        <v>85</v>
      </c>
      <c r="C86" s="1" t="n">
        <v>5.38</v>
      </c>
      <c r="D86" s="1" t="n">
        <v>0.52</v>
      </c>
      <c r="E86" s="1" t="n">
        <v>55.63</v>
      </c>
      <c r="F86" s="1" t="n">
        <v>0.75</v>
      </c>
      <c r="G86" s="1" t="n">
        <v>87</v>
      </c>
      <c r="J86" s="1" t="s">
        <v>54</v>
      </c>
      <c r="K86" s="1" t="s">
        <v>435</v>
      </c>
      <c r="L86" s="1" t="n">
        <v>5.08</v>
      </c>
      <c r="M86" s="1" t="n">
        <v>3.07</v>
      </c>
      <c r="N86" s="1" t="n">
        <v>8.4</v>
      </c>
      <c r="O86" s="1" t="n">
        <v>10.83</v>
      </c>
      <c r="P86" s="1" t="n">
        <v>3.95</v>
      </c>
      <c r="Q86" s="1" t="n">
        <v>13.86</v>
      </c>
    </row>
    <row r="87" customFormat="false" ht="15.75" hidden="false" customHeight="true" outlineLevel="0" collapsed="false">
      <c r="A87" s="1" t="s">
        <v>54</v>
      </c>
      <c r="B87" s="1" t="n">
        <v>86</v>
      </c>
      <c r="C87" s="1" t="n">
        <v>5.36</v>
      </c>
      <c r="D87" s="1" t="n">
        <v>3.12</v>
      </c>
      <c r="E87" s="1" t="n">
        <v>9.22</v>
      </c>
      <c r="F87" s="1" t="n">
        <v>1.18</v>
      </c>
      <c r="G87" s="1" t="n">
        <v>69</v>
      </c>
      <c r="J87" s="1" t="s">
        <v>60</v>
      </c>
      <c r="K87" s="1" t="s">
        <v>436</v>
      </c>
      <c r="L87" s="1" t="n">
        <v>4.97</v>
      </c>
      <c r="M87" s="1" t="n">
        <v>1.54</v>
      </c>
      <c r="N87" s="1" t="n">
        <v>16.07</v>
      </c>
      <c r="O87" s="1" t="n">
        <v>12.18</v>
      </c>
      <c r="P87" s="1" t="n">
        <v>8.7</v>
      </c>
      <c r="Q87" s="1" t="n">
        <v>39.13</v>
      </c>
    </row>
    <row r="88" customFormat="false" ht="15.75" hidden="false" customHeight="true" outlineLevel="0" collapsed="false">
      <c r="A88" s="1" t="s">
        <v>60</v>
      </c>
      <c r="B88" s="1" t="n">
        <v>87</v>
      </c>
      <c r="C88" s="1" t="n">
        <v>5.1</v>
      </c>
      <c r="D88" s="1" t="n">
        <v>1.57</v>
      </c>
      <c r="E88" s="1" t="n">
        <v>16.55</v>
      </c>
      <c r="F88" s="1" t="n">
        <v>0.41</v>
      </c>
      <c r="G88" s="1" t="n">
        <v>142</v>
      </c>
      <c r="J88" s="1" t="s">
        <v>304</v>
      </c>
      <c r="K88" s="1" t="s">
        <v>437</v>
      </c>
      <c r="L88" s="1" t="n">
        <v>4.89</v>
      </c>
      <c r="M88" s="1" t="n">
        <v>0.67</v>
      </c>
      <c r="N88" s="1" t="n">
        <v>35.72</v>
      </c>
      <c r="O88" s="1" t="n">
        <v>55.58</v>
      </c>
      <c r="P88" s="1" t="n">
        <v>12.6</v>
      </c>
      <c r="Q88" s="1" t="n">
        <v>65.07</v>
      </c>
    </row>
    <row r="89" customFormat="false" ht="15.75" hidden="false" customHeight="true" outlineLevel="0" collapsed="false">
      <c r="A89" s="1" t="s">
        <v>218</v>
      </c>
      <c r="B89" s="1" t="n">
        <v>88</v>
      </c>
      <c r="C89" s="1" t="n">
        <v>4.98</v>
      </c>
      <c r="D89" s="1" t="n">
        <v>2.49</v>
      </c>
      <c r="E89" s="1" t="n">
        <v>9.95</v>
      </c>
      <c r="F89" s="1" t="n">
        <v>5.43</v>
      </c>
      <c r="G89" s="1" t="n">
        <v>45</v>
      </c>
      <c r="J89" s="1" t="s">
        <v>139</v>
      </c>
      <c r="K89" s="1" t="s">
        <v>438</v>
      </c>
      <c r="L89" s="1" t="n">
        <v>4.86</v>
      </c>
      <c r="M89" s="1" t="n">
        <v>0.36</v>
      </c>
      <c r="N89" s="1" t="n">
        <v>65.69</v>
      </c>
      <c r="O89" s="1" t="n">
        <v>62.86</v>
      </c>
      <c r="P89" s="1" t="n">
        <v>63.96</v>
      </c>
      <c r="Q89" s="1" t="n">
        <v>70.49</v>
      </c>
    </row>
    <row r="90" customFormat="false" ht="15.75" hidden="false" customHeight="true" outlineLevel="0" collapsed="false">
      <c r="A90" s="1" t="s">
        <v>23</v>
      </c>
      <c r="B90" s="1" t="n">
        <v>89</v>
      </c>
      <c r="C90" s="1" t="n">
        <v>4.95</v>
      </c>
      <c r="D90" s="1" t="n">
        <v>2.6</v>
      </c>
      <c r="E90" s="1" t="n">
        <v>9.41</v>
      </c>
      <c r="F90" s="1" t="n">
        <v>0.31</v>
      </c>
      <c r="G90" s="1" t="n">
        <v>167</v>
      </c>
      <c r="J90" s="1" t="s">
        <v>116</v>
      </c>
      <c r="K90" s="1" t="s">
        <v>439</v>
      </c>
      <c r="L90" s="1" t="n">
        <v>4.82</v>
      </c>
      <c r="M90" s="1" t="n">
        <v>1.51</v>
      </c>
      <c r="N90" s="1" t="n">
        <v>15.36</v>
      </c>
      <c r="O90" s="1" t="n">
        <v>8.97</v>
      </c>
      <c r="P90" s="1" t="n">
        <v>9.64</v>
      </c>
      <c r="Q90" s="1" t="n">
        <v>41.88</v>
      </c>
    </row>
    <row r="91" customFormat="false" ht="15.75" hidden="false" customHeight="true" outlineLevel="0" collapsed="false">
      <c r="A91" s="1" t="s">
        <v>196</v>
      </c>
      <c r="B91" s="1" t="n">
        <v>90</v>
      </c>
      <c r="C91" s="1" t="n">
        <v>4.91</v>
      </c>
      <c r="D91" s="1" t="n">
        <v>1.06</v>
      </c>
      <c r="E91" s="1" t="n">
        <v>22.75</v>
      </c>
      <c r="F91" s="1" t="n">
        <v>0.48</v>
      </c>
      <c r="G91" s="1" t="n">
        <v>125</v>
      </c>
      <c r="J91" s="1" t="s">
        <v>52</v>
      </c>
      <c r="K91" s="1" t="s">
        <v>440</v>
      </c>
      <c r="L91" s="1" t="n">
        <v>4.78</v>
      </c>
      <c r="M91" s="1" t="n">
        <v>1.57</v>
      </c>
      <c r="N91" s="1" t="n">
        <v>14.56</v>
      </c>
      <c r="O91" s="1" t="n">
        <v>8.55</v>
      </c>
      <c r="P91" s="1" t="n">
        <v>9.39</v>
      </c>
      <c r="Q91" s="1" t="n">
        <v>38.42</v>
      </c>
    </row>
    <row r="92" customFormat="false" ht="15.75" hidden="false" customHeight="true" outlineLevel="0" collapsed="false">
      <c r="A92" s="1" t="s">
        <v>139</v>
      </c>
      <c r="B92" s="1" t="n">
        <v>91</v>
      </c>
      <c r="C92" s="1" t="n">
        <v>4.89</v>
      </c>
      <c r="D92" s="1" t="n">
        <v>0.36</v>
      </c>
      <c r="E92" s="1" t="n">
        <v>66.33</v>
      </c>
      <c r="F92" s="1" t="n">
        <v>0.81</v>
      </c>
      <c r="G92" s="1" t="n">
        <v>80</v>
      </c>
      <c r="J92" s="1" t="s">
        <v>51</v>
      </c>
      <c r="K92" s="1" t="s">
        <v>441</v>
      </c>
      <c r="L92" s="1" t="n">
        <v>4.74</v>
      </c>
      <c r="M92" s="1" t="n">
        <v>1.73</v>
      </c>
      <c r="N92" s="1" t="n">
        <v>13.01</v>
      </c>
      <c r="O92" s="1" t="n">
        <v>6.77</v>
      </c>
      <c r="P92" s="1" t="n">
        <v>7.71</v>
      </c>
      <c r="Q92" s="1" t="n">
        <v>42.22</v>
      </c>
    </row>
    <row r="93" customFormat="false" ht="15.75" hidden="false" customHeight="true" outlineLevel="0" collapsed="false">
      <c r="A93" s="1" t="s">
        <v>52</v>
      </c>
      <c r="B93" s="1" t="n">
        <v>92</v>
      </c>
      <c r="C93" s="1" t="n">
        <v>4.84</v>
      </c>
      <c r="D93" s="1" t="n">
        <v>1.55</v>
      </c>
      <c r="E93" s="1" t="n">
        <v>15.13</v>
      </c>
      <c r="F93" s="1" t="n">
        <v>0.39</v>
      </c>
      <c r="G93" s="1" t="n">
        <v>148</v>
      </c>
      <c r="J93" s="1" t="s">
        <v>33</v>
      </c>
      <c r="K93" s="1" t="s">
        <v>442</v>
      </c>
      <c r="L93" s="1" t="n">
        <v>4.54</v>
      </c>
      <c r="M93" s="1" t="n">
        <v>3.77</v>
      </c>
      <c r="N93" s="1" t="n">
        <v>5.46</v>
      </c>
      <c r="O93" s="1" t="n">
        <v>2.29</v>
      </c>
      <c r="P93" s="1" t="n">
        <v>2.38</v>
      </c>
      <c r="Q93" s="1" t="n">
        <v>29.82</v>
      </c>
    </row>
    <row r="94" customFormat="false" ht="15.75" hidden="false" customHeight="true" outlineLevel="0" collapsed="false">
      <c r="A94" s="1" t="s">
        <v>258</v>
      </c>
      <c r="B94" s="1" t="n">
        <v>93</v>
      </c>
      <c r="C94" s="1" t="n">
        <v>4.66</v>
      </c>
      <c r="D94" s="1" t="n">
        <v>0.68</v>
      </c>
      <c r="E94" s="1" t="n">
        <v>31.89</v>
      </c>
      <c r="F94" s="1" t="n">
        <v>9.5</v>
      </c>
      <c r="G94" s="1" t="n">
        <v>20</v>
      </c>
      <c r="J94" s="1" t="s">
        <v>443</v>
      </c>
      <c r="K94" s="1" t="s">
        <v>444</v>
      </c>
      <c r="L94" s="1" t="n">
        <v>4.44</v>
      </c>
      <c r="M94" s="1" t="n">
        <v>1.12</v>
      </c>
      <c r="N94" s="1" t="n">
        <v>17.62</v>
      </c>
      <c r="O94" s="1" t="n">
        <v>9.92</v>
      </c>
      <c r="P94" s="1" t="n">
        <v>10.97</v>
      </c>
      <c r="Q94" s="1" t="n">
        <v>50.23</v>
      </c>
    </row>
    <row r="95" customFormat="false" ht="15.75" hidden="false" customHeight="true" outlineLevel="0" collapsed="false">
      <c r="A95" s="1" t="s">
        <v>30</v>
      </c>
      <c r="B95" s="1" t="n">
        <v>94</v>
      </c>
      <c r="C95" s="1" t="n">
        <v>4.61</v>
      </c>
      <c r="D95" s="1" t="n">
        <v>1.79</v>
      </c>
      <c r="E95" s="1" t="n">
        <v>11.89</v>
      </c>
      <c r="F95" s="1" t="n">
        <v>0.34</v>
      </c>
      <c r="G95" s="1" t="n">
        <v>161</v>
      </c>
      <c r="J95" s="1" t="s">
        <v>90</v>
      </c>
      <c r="K95" s="1" t="s">
        <v>445</v>
      </c>
      <c r="L95" s="1" t="n">
        <v>4.41</v>
      </c>
      <c r="M95" s="1" t="n">
        <v>0.48</v>
      </c>
      <c r="N95" s="1" t="n">
        <v>40.55</v>
      </c>
      <c r="O95" s="1" t="n">
        <v>28.33</v>
      </c>
      <c r="P95" s="1" t="n">
        <v>43.9</v>
      </c>
      <c r="Q95" s="1" t="n">
        <v>53.62</v>
      </c>
    </row>
    <row r="96" customFormat="false" ht="15.75" hidden="false" customHeight="true" outlineLevel="0" collapsed="false">
      <c r="A96" s="1" t="s">
        <v>130</v>
      </c>
      <c r="B96" s="1" t="n">
        <v>95</v>
      </c>
      <c r="C96" s="1" t="n">
        <v>4.57</v>
      </c>
      <c r="D96" s="1" t="n">
        <v>1</v>
      </c>
      <c r="E96" s="1" t="n">
        <v>20.92</v>
      </c>
      <c r="F96" s="1" t="n">
        <v>1.83</v>
      </c>
      <c r="G96" s="1" t="n">
        <v>60</v>
      </c>
      <c r="J96" s="1" t="s">
        <v>227</v>
      </c>
      <c r="K96" s="1" t="s">
        <v>446</v>
      </c>
      <c r="L96" s="1" t="n">
        <v>4.25</v>
      </c>
      <c r="M96" s="1" t="n">
        <v>0.25</v>
      </c>
      <c r="N96" s="1" t="n">
        <v>72.39</v>
      </c>
      <c r="O96" s="1" t="n">
        <v>71.48</v>
      </c>
      <c r="P96" s="1" t="n">
        <v>69.34</v>
      </c>
      <c r="Q96" s="1" t="n">
        <v>76.55</v>
      </c>
    </row>
    <row r="97" customFormat="false" ht="15.75" hidden="false" customHeight="true" outlineLevel="0" collapsed="false">
      <c r="A97" s="1" t="s">
        <v>21</v>
      </c>
      <c r="B97" s="1" t="n">
        <v>96</v>
      </c>
      <c r="C97" s="1" t="n">
        <v>4.5</v>
      </c>
      <c r="D97" s="1" t="n">
        <v>2.17</v>
      </c>
      <c r="E97" s="1" t="n">
        <v>9.33</v>
      </c>
      <c r="F97" s="1" t="n">
        <v>0.31</v>
      </c>
      <c r="G97" s="1" t="n">
        <v>167</v>
      </c>
      <c r="J97" s="1" t="s">
        <v>162</v>
      </c>
      <c r="K97" s="1" t="s">
        <v>447</v>
      </c>
      <c r="L97" s="1" t="n">
        <v>4.12</v>
      </c>
      <c r="M97" s="1" t="n">
        <v>0.25</v>
      </c>
      <c r="N97" s="1" t="n">
        <v>67.77</v>
      </c>
      <c r="O97" s="1" t="n">
        <v>56.66</v>
      </c>
      <c r="P97" s="1" t="n">
        <v>78.94</v>
      </c>
      <c r="Q97" s="1" t="n">
        <v>69.6</v>
      </c>
    </row>
    <row r="98" customFormat="false" ht="15.75" hidden="false" customHeight="true" outlineLevel="0" collapsed="false">
      <c r="A98" s="1" t="s">
        <v>22</v>
      </c>
      <c r="B98" s="1" t="n">
        <v>97</v>
      </c>
      <c r="C98" s="1" t="n">
        <v>4.43</v>
      </c>
      <c r="D98" s="1" t="n">
        <v>1.2</v>
      </c>
      <c r="E98" s="1" t="n">
        <v>16.35</v>
      </c>
      <c r="F98" s="1" t="n">
        <v>0.4</v>
      </c>
      <c r="G98" s="1" t="n">
        <v>145</v>
      </c>
      <c r="J98" s="1" t="s">
        <v>21</v>
      </c>
      <c r="K98" s="1" t="s">
        <v>448</v>
      </c>
      <c r="L98" s="1" t="n">
        <v>4.11</v>
      </c>
      <c r="M98" s="1" t="n">
        <v>2.2</v>
      </c>
      <c r="N98" s="1" t="n">
        <v>7.66</v>
      </c>
      <c r="O98" s="1" t="n">
        <v>4.33</v>
      </c>
      <c r="P98" s="1" t="n">
        <v>3.29</v>
      </c>
      <c r="Q98" s="1" t="n">
        <v>31.58</v>
      </c>
    </row>
    <row r="99" customFormat="false" ht="15.75" hidden="false" customHeight="true" outlineLevel="0" collapsed="false">
      <c r="A99" s="1" t="s">
        <v>90</v>
      </c>
      <c r="B99" s="1" t="n">
        <v>98</v>
      </c>
      <c r="C99" s="1" t="n">
        <v>4.35</v>
      </c>
      <c r="D99" s="1" t="n">
        <v>0.45</v>
      </c>
      <c r="E99" s="1" t="n">
        <v>42.12</v>
      </c>
      <c r="F99" s="1" t="n">
        <v>0.65</v>
      </c>
      <c r="G99" s="1" t="n">
        <v>96</v>
      </c>
      <c r="J99" s="1" t="s">
        <v>25</v>
      </c>
      <c r="K99" s="1" t="s">
        <v>449</v>
      </c>
      <c r="L99" s="1" t="n">
        <v>4.1</v>
      </c>
      <c r="M99" s="1" t="n">
        <v>1.99</v>
      </c>
      <c r="N99" s="1" t="n">
        <v>8.46</v>
      </c>
      <c r="O99" s="1" t="n">
        <v>5.18</v>
      </c>
      <c r="P99" s="1" t="n">
        <v>3.24</v>
      </c>
      <c r="Q99" s="1" t="n">
        <v>36.06</v>
      </c>
    </row>
    <row r="100" customFormat="false" ht="15.75" hidden="false" customHeight="true" outlineLevel="0" collapsed="false">
      <c r="A100" s="1" t="s">
        <v>25</v>
      </c>
      <c r="B100" s="1" t="n">
        <v>99</v>
      </c>
      <c r="C100" s="1" t="n">
        <v>4.29</v>
      </c>
      <c r="D100" s="1" t="n">
        <v>1.95</v>
      </c>
      <c r="E100" s="1" t="n">
        <v>9.45</v>
      </c>
      <c r="F100" s="1" t="n">
        <v>0.31</v>
      </c>
      <c r="G100" s="1" t="n">
        <v>167</v>
      </c>
      <c r="J100" s="1" t="s">
        <v>186</v>
      </c>
      <c r="K100" s="1" t="s">
        <v>450</v>
      </c>
      <c r="L100" s="1" t="n">
        <v>4.02</v>
      </c>
      <c r="M100" s="1" t="n">
        <v>1.33</v>
      </c>
      <c r="N100" s="1" t="n">
        <v>12.13</v>
      </c>
      <c r="O100" s="1" t="n">
        <v>12.89</v>
      </c>
      <c r="P100" s="1" t="n">
        <v>11.5</v>
      </c>
      <c r="Q100" s="1" t="n">
        <v>12.03</v>
      </c>
    </row>
    <row r="101" customFormat="false" ht="15.75" hidden="false" customHeight="true" outlineLevel="0" collapsed="false">
      <c r="A101" s="1" t="s">
        <v>126</v>
      </c>
      <c r="B101" s="1" t="n">
        <v>100</v>
      </c>
      <c r="C101" s="1" t="n">
        <v>4.26</v>
      </c>
      <c r="D101" s="1" t="n">
        <v>1.04</v>
      </c>
      <c r="E101" s="1" t="n">
        <v>17.42</v>
      </c>
      <c r="F101" s="1" t="n">
        <v>7.57</v>
      </c>
      <c r="G101" s="1" t="n">
        <v>31</v>
      </c>
      <c r="J101" s="1" t="s">
        <v>132</v>
      </c>
      <c r="K101" s="1" t="s">
        <v>451</v>
      </c>
      <c r="L101" s="1" t="n">
        <v>3.87</v>
      </c>
      <c r="M101" s="1" t="n">
        <v>0.38</v>
      </c>
      <c r="N101" s="1" t="n">
        <v>39.33</v>
      </c>
      <c r="O101" s="1" t="n">
        <v>21.14</v>
      </c>
      <c r="P101" s="1" t="n">
        <v>50.25</v>
      </c>
      <c r="Q101" s="1" t="n">
        <v>57.26</v>
      </c>
    </row>
    <row r="102" customFormat="false" ht="15.75" hidden="false" customHeight="true" outlineLevel="0" collapsed="false">
      <c r="A102" s="1" t="s">
        <v>75</v>
      </c>
      <c r="B102" s="1" t="n">
        <v>101</v>
      </c>
      <c r="C102" s="1" t="n">
        <v>4.21</v>
      </c>
      <c r="D102" s="1" t="n">
        <v>0.78</v>
      </c>
      <c r="E102" s="1" t="n">
        <v>22.67</v>
      </c>
      <c r="F102" s="1" t="n">
        <v>0.48</v>
      </c>
      <c r="G102" s="1" t="n">
        <v>125</v>
      </c>
      <c r="J102" s="1" t="s">
        <v>22</v>
      </c>
      <c r="K102" s="1" t="s">
        <v>452</v>
      </c>
      <c r="L102" s="1" t="n">
        <v>3.81</v>
      </c>
      <c r="M102" s="1" t="n">
        <v>0.88</v>
      </c>
      <c r="N102" s="1" t="n">
        <v>16.51</v>
      </c>
      <c r="O102" s="1" t="n">
        <v>8.55</v>
      </c>
      <c r="P102" s="1" t="n">
        <v>16.79</v>
      </c>
      <c r="Q102" s="1" t="n">
        <v>31.34</v>
      </c>
    </row>
    <row r="103" customFormat="false" ht="15.75" hidden="false" customHeight="true" outlineLevel="0" collapsed="false">
      <c r="A103" s="1" t="s">
        <v>162</v>
      </c>
      <c r="B103" s="1" t="n">
        <v>102</v>
      </c>
      <c r="C103" s="1" t="n">
        <v>4.18</v>
      </c>
      <c r="D103" s="1" t="n">
        <v>0.26</v>
      </c>
      <c r="E103" s="1" t="n">
        <v>67.36</v>
      </c>
      <c r="F103" s="1" t="n">
        <v>0.82</v>
      </c>
      <c r="G103" s="1" t="n">
        <v>77</v>
      </c>
      <c r="J103" s="1" t="s">
        <v>84</v>
      </c>
      <c r="K103" s="1" t="s">
        <v>453</v>
      </c>
      <c r="L103" s="1" t="n">
        <v>3.74</v>
      </c>
      <c r="M103" s="1" t="n">
        <v>0.73</v>
      </c>
      <c r="N103" s="1" t="n">
        <v>19.18</v>
      </c>
      <c r="O103" s="1" t="n">
        <v>19.21</v>
      </c>
      <c r="P103" s="1" t="n">
        <v>9.63</v>
      </c>
      <c r="Q103" s="1" t="n">
        <v>38.13</v>
      </c>
    </row>
    <row r="104" customFormat="false" ht="15.75" hidden="false" customHeight="true" outlineLevel="0" collapsed="false">
      <c r="A104" s="1" t="s">
        <v>227</v>
      </c>
      <c r="B104" s="1" t="n">
        <v>103</v>
      </c>
      <c r="C104" s="1" t="n">
        <v>4.14</v>
      </c>
      <c r="D104" s="1" t="n">
        <v>0.25</v>
      </c>
      <c r="E104" s="1" t="n">
        <v>68.66</v>
      </c>
      <c r="F104" s="1" t="n">
        <v>0.83</v>
      </c>
      <c r="G104" s="1" t="n">
        <v>73</v>
      </c>
      <c r="J104" s="1" t="s">
        <v>75</v>
      </c>
      <c r="K104" s="1" t="s">
        <v>454</v>
      </c>
      <c r="L104" s="1" t="n">
        <v>3.61</v>
      </c>
      <c r="M104" s="1" t="n">
        <v>0.57</v>
      </c>
      <c r="N104" s="1" t="n">
        <v>22.88</v>
      </c>
      <c r="O104" s="1" t="n">
        <v>13.11</v>
      </c>
      <c r="P104" s="1" t="n">
        <v>20.54</v>
      </c>
      <c r="Q104" s="1" t="n">
        <v>44.5</v>
      </c>
    </row>
    <row r="105" customFormat="false" ht="15.75" hidden="false" customHeight="true" outlineLevel="0" collapsed="false">
      <c r="A105" s="1" t="s">
        <v>304</v>
      </c>
      <c r="B105" s="1" t="n">
        <v>104</v>
      </c>
      <c r="C105" s="1" t="n">
        <v>4.09</v>
      </c>
      <c r="D105" s="1" t="n">
        <v>0.59</v>
      </c>
      <c r="E105" s="1" t="n">
        <v>28.38</v>
      </c>
      <c r="F105" s="1" t="n">
        <v>0.53</v>
      </c>
      <c r="G105" s="1" t="n">
        <v>112</v>
      </c>
      <c r="J105" s="1" t="s">
        <v>72</v>
      </c>
      <c r="K105" s="1" t="s">
        <v>455</v>
      </c>
      <c r="L105" s="1" t="n">
        <v>3.58</v>
      </c>
      <c r="M105" s="1" t="n">
        <v>0.73</v>
      </c>
      <c r="N105" s="1" t="n">
        <v>17.59</v>
      </c>
      <c r="O105" s="1" t="n">
        <v>13.4</v>
      </c>
      <c r="P105" s="1" t="n">
        <v>9.6</v>
      </c>
      <c r="Q105" s="1" t="n">
        <v>42.3</v>
      </c>
    </row>
    <row r="106" customFormat="false" ht="15.75" hidden="false" customHeight="true" outlineLevel="0" collapsed="false">
      <c r="A106" s="1" t="s">
        <v>201</v>
      </c>
      <c r="B106" s="1" t="n">
        <v>105</v>
      </c>
      <c r="C106" s="1" t="n">
        <v>4.08</v>
      </c>
      <c r="D106" s="1" t="n">
        <v>0.54</v>
      </c>
      <c r="E106" s="1" t="n">
        <v>30.86</v>
      </c>
      <c r="F106" s="1" t="n">
        <v>0.56</v>
      </c>
      <c r="G106" s="1" t="n">
        <v>103</v>
      </c>
      <c r="J106" s="1" t="s">
        <v>189</v>
      </c>
      <c r="K106" s="1" t="s">
        <v>456</v>
      </c>
      <c r="L106" s="1" t="n">
        <v>3.55</v>
      </c>
      <c r="M106" s="1" t="n">
        <v>0.67</v>
      </c>
      <c r="N106" s="1" t="n">
        <v>18.84</v>
      </c>
      <c r="O106" s="1" t="n">
        <v>14.1</v>
      </c>
      <c r="P106" s="1" t="n">
        <v>7.04</v>
      </c>
      <c r="Q106" s="1" t="n">
        <v>67.37</v>
      </c>
    </row>
    <row r="107" customFormat="false" ht="15.75" hidden="false" customHeight="true" outlineLevel="0" collapsed="false">
      <c r="A107" s="1" t="s">
        <v>84</v>
      </c>
      <c r="B107" s="1" t="n">
        <v>106</v>
      </c>
      <c r="C107" s="1" t="n">
        <v>4.06</v>
      </c>
      <c r="D107" s="1" t="n">
        <v>0.7</v>
      </c>
      <c r="E107" s="1" t="n">
        <v>23.59</v>
      </c>
      <c r="F107" s="1" t="n">
        <v>0.49</v>
      </c>
      <c r="G107" s="1" t="n">
        <v>121</v>
      </c>
      <c r="J107" s="1" t="s">
        <v>45</v>
      </c>
      <c r="K107" s="1" t="s">
        <v>457</v>
      </c>
      <c r="L107" s="1" t="n">
        <v>3.5</v>
      </c>
      <c r="M107" s="1" t="n">
        <v>1.02</v>
      </c>
      <c r="N107" s="1" t="n">
        <v>12.04</v>
      </c>
      <c r="O107" s="1" t="n">
        <v>7.03</v>
      </c>
      <c r="P107" s="1" t="n">
        <v>7.84</v>
      </c>
      <c r="Q107" s="1" t="n">
        <v>31.69</v>
      </c>
    </row>
    <row r="108" customFormat="false" ht="15.75" hidden="false" customHeight="true" outlineLevel="0" collapsed="false">
      <c r="A108" s="1" t="s">
        <v>116</v>
      </c>
      <c r="B108" s="1" t="n">
        <v>107</v>
      </c>
      <c r="C108" s="1" t="n">
        <v>4.04</v>
      </c>
      <c r="D108" s="1" t="n">
        <v>1.18</v>
      </c>
      <c r="E108" s="1" t="n">
        <v>13.83</v>
      </c>
      <c r="F108" s="1" t="n">
        <v>6.77</v>
      </c>
      <c r="G108" s="1" t="n">
        <v>36</v>
      </c>
      <c r="J108" s="1" t="s">
        <v>256</v>
      </c>
      <c r="K108" s="1" t="s">
        <v>458</v>
      </c>
      <c r="L108" s="1" t="n">
        <v>3.44</v>
      </c>
      <c r="M108" s="1" t="n">
        <v>0.16</v>
      </c>
      <c r="N108" s="1" t="n">
        <v>73.86</v>
      </c>
      <c r="O108" s="1" t="n">
        <v>74.75</v>
      </c>
      <c r="P108" s="1" t="n">
        <v>70.16</v>
      </c>
      <c r="Q108" s="1" t="n">
        <v>76.82</v>
      </c>
    </row>
    <row r="109" customFormat="false" ht="15.75" hidden="false" customHeight="true" outlineLevel="0" collapsed="false">
      <c r="A109" s="1" t="s">
        <v>207</v>
      </c>
      <c r="B109" s="1" t="n">
        <v>108</v>
      </c>
      <c r="C109" s="1" t="n">
        <v>3.89</v>
      </c>
      <c r="D109" s="1" t="n">
        <v>0.77</v>
      </c>
      <c r="E109" s="1" t="n">
        <v>19.61</v>
      </c>
      <c r="F109" s="1" t="n">
        <v>6.57</v>
      </c>
      <c r="G109" s="1" t="n">
        <v>39</v>
      </c>
      <c r="J109" s="1" t="s">
        <v>126</v>
      </c>
      <c r="K109" s="1" t="s">
        <v>459</v>
      </c>
      <c r="L109" s="1" t="n">
        <v>3.4</v>
      </c>
      <c r="M109" s="1" t="n">
        <v>1.1</v>
      </c>
      <c r="N109" s="1" t="n">
        <v>10.54</v>
      </c>
      <c r="O109" s="1" t="n">
        <v>8.86</v>
      </c>
      <c r="P109" s="1" t="n">
        <v>2.89</v>
      </c>
      <c r="Q109" s="1" t="n">
        <v>45.7</v>
      </c>
    </row>
    <row r="110" customFormat="false" ht="15.75" hidden="false" customHeight="true" outlineLevel="0" collapsed="false">
      <c r="A110" s="1" t="s">
        <v>190</v>
      </c>
      <c r="B110" s="1" t="n">
        <v>109</v>
      </c>
      <c r="C110" s="1" t="n">
        <v>3.88</v>
      </c>
      <c r="D110" s="1" t="n">
        <v>0.95</v>
      </c>
      <c r="E110" s="1" t="n">
        <v>15.82</v>
      </c>
      <c r="F110" s="1" t="n">
        <v>6.52</v>
      </c>
      <c r="G110" s="1" t="n">
        <v>40</v>
      </c>
      <c r="J110" s="1" t="s">
        <v>192</v>
      </c>
      <c r="K110" s="1" t="s">
        <v>460</v>
      </c>
      <c r="L110" s="1" t="n">
        <v>3.37</v>
      </c>
      <c r="M110" s="1" t="n">
        <v>0.35</v>
      </c>
      <c r="N110" s="1" t="n">
        <v>32.44</v>
      </c>
      <c r="O110" s="1" t="n">
        <v>34.28</v>
      </c>
      <c r="P110" s="1" t="n">
        <v>14.59</v>
      </c>
      <c r="Q110" s="1" t="n">
        <v>68.28</v>
      </c>
    </row>
    <row r="111" customFormat="false" ht="15.75" hidden="false" customHeight="true" outlineLevel="0" collapsed="false">
      <c r="A111" s="1" t="s">
        <v>49</v>
      </c>
      <c r="B111" s="1" t="n">
        <v>110</v>
      </c>
      <c r="C111" s="1" t="n">
        <v>3.7</v>
      </c>
      <c r="D111" s="1" t="n">
        <v>0.95</v>
      </c>
      <c r="E111" s="1" t="n">
        <v>14.44</v>
      </c>
      <c r="F111" s="1" t="n">
        <v>0.38</v>
      </c>
      <c r="G111" s="1" t="n">
        <v>151</v>
      </c>
      <c r="J111" s="1" t="s">
        <v>263</v>
      </c>
      <c r="K111" s="1" t="s">
        <v>461</v>
      </c>
      <c r="L111" s="1" t="n">
        <v>3.25</v>
      </c>
      <c r="M111" s="1" t="n">
        <v>0.86</v>
      </c>
      <c r="N111" s="1" t="n">
        <v>12.31</v>
      </c>
      <c r="O111" s="1" t="n">
        <v>10.68</v>
      </c>
      <c r="P111" s="1" t="n">
        <v>3.58</v>
      </c>
      <c r="Q111" s="1" t="n">
        <v>48.77</v>
      </c>
    </row>
    <row r="112" customFormat="false" ht="15.75" hidden="false" customHeight="true" outlineLevel="0" collapsed="false">
      <c r="A112" s="1" t="s">
        <v>303</v>
      </c>
      <c r="B112" s="1" t="n">
        <v>111</v>
      </c>
      <c r="C112" s="1" t="n">
        <v>3.67</v>
      </c>
      <c r="D112" s="1" t="n">
        <v>0.33</v>
      </c>
      <c r="E112" s="1" t="n">
        <v>40.73</v>
      </c>
      <c r="F112" s="1" t="n">
        <v>0.64</v>
      </c>
      <c r="G112" s="1" t="n">
        <v>97</v>
      </c>
      <c r="J112" s="1" t="s">
        <v>218</v>
      </c>
      <c r="K112" s="1" t="s">
        <v>462</v>
      </c>
      <c r="L112" s="1" t="n">
        <v>3.23</v>
      </c>
      <c r="M112" s="1" t="n">
        <v>0.81</v>
      </c>
      <c r="N112" s="1" t="n">
        <v>12.88</v>
      </c>
      <c r="O112" s="1" t="n">
        <v>15.24</v>
      </c>
      <c r="P112" s="1" t="n">
        <v>2.59</v>
      </c>
      <c r="Q112" s="1" t="n">
        <v>54.18</v>
      </c>
    </row>
    <row r="113" customFormat="false" ht="15.75" hidden="false" customHeight="true" outlineLevel="0" collapsed="false">
      <c r="A113" s="1" t="s">
        <v>192</v>
      </c>
      <c r="B113" s="1" t="n">
        <v>112</v>
      </c>
      <c r="C113" s="1" t="n">
        <v>3.6</v>
      </c>
      <c r="D113" s="1" t="n">
        <v>0.34</v>
      </c>
      <c r="E113" s="1" t="n">
        <v>38.05</v>
      </c>
      <c r="F113" s="1" t="n">
        <v>2.47</v>
      </c>
      <c r="G113" s="1" t="n">
        <v>51</v>
      </c>
      <c r="J113" s="1" t="s">
        <v>29</v>
      </c>
      <c r="K113" s="1" t="s">
        <v>463</v>
      </c>
      <c r="L113" s="1" t="n">
        <v>3.23</v>
      </c>
      <c r="M113" s="1" t="n">
        <v>1.05</v>
      </c>
      <c r="N113" s="1" t="n">
        <v>9.95</v>
      </c>
      <c r="O113" s="1" t="n">
        <v>5.63</v>
      </c>
      <c r="P113" s="1" t="n">
        <v>6.47</v>
      </c>
      <c r="Q113" s="1" t="n">
        <v>27.04</v>
      </c>
    </row>
    <row r="114" customFormat="false" ht="15.75" hidden="false" customHeight="true" outlineLevel="0" collapsed="false">
      <c r="A114" s="1" t="s">
        <v>189</v>
      </c>
      <c r="B114" s="1" t="n">
        <v>113</v>
      </c>
      <c r="C114" s="1" t="n">
        <v>3.59</v>
      </c>
      <c r="D114" s="1" t="n">
        <v>0.59</v>
      </c>
      <c r="E114" s="1" t="n">
        <v>21.9</v>
      </c>
      <c r="F114" s="1" t="n">
        <v>0.47</v>
      </c>
      <c r="G114" s="1" t="n">
        <v>127</v>
      </c>
      <c r="J114" s="1" t="s">
        <v>65</v>
      </c>
      <c r="K114" s="1" t="s">
        <v>464</v>
      </c>
      <c r="L114" s="1" t="n">
        <v>3.22</v>
      </c>
      <c r="M114" s="1" t="n">
        <v>0.71</v>
      </c>
      <c r="N114" s="1" t="n">
        <v>14.59</v>
      </c>
      <c r="O114" s="1" t="n">
        <v>7.63</v>
      </c>
      <c r="P114" s="1" t="n">
        <v>8.44</v>
      </c>
      <c r="Q114" s="1" t="n">
        <v>48.23</v>
      </c>
    </row>
    <row r="115" customFormat="false" ht="15.75" hidden="false" customHeight="true" outlineLevel="0" collapsed="false">
      <c r="A115" s="1" t="s">
        <v>157</v>
      </c>
      <c r="B115" s="1" t="n">
        <v>114</v>
      </c>
      <c r="C115" s="1" t="n">
        <v>3.57</v>
      </c>
      <c r="D115" s="1" t="n">
        <v>0.22</v>
      </c>
      <c r="E115" s="1" t="n">
        <v>57.78</v>
      </c>
      <c r="F115" s="1" t="n">
        <v>0.76</v>
      </c>
      <c r="G115" s="1" t="n">
        <v>86</v>
      </c>
      <c r="J115" s="1" t="s">
        <v>465</v>
      </c>
      <c r="K115" s="1" t="s">
        <v>466</v>
      </c>
      <c r="L115" s="1" t="n">
        <v>3.2</v>
      </c>
      <c r="M115" s="1" t="n">
        <v>0.35</v>
      </c>
      <c r="N115" s="1" t="n">
        <v>29.17</v>
      </c>
      <c r="O115" s="1" t="n">
        <v>36.64</v>
      </c>
      <c r="P115" s="1" t="n">
        <v>13.51</v>
      </c>
      <c r="Q115" s="1" t="n">
        <v>50.13</v>
      </c>
    </row>
    <row r="116" customFormat="false" ht="15.75" hidden="false" customHeight="true" outlineLevel="0" collapsed="false">
      <c r="A116" s="1" t="s">
        <v>252</v>
      </c>
      <c r="B116" s="1" t="n">
        <v>115</v>
      </c>
      <c r="C116" s="1" t="n">
        <v>3.46</v>
      </c>
      <c r="D116" s="1" t="n">
        <v>0.22</v>
      </c>
      <c r="E116" s="1" t="n">
        <v>54.35</v>
      </c>
      <c r="F116" s="1" t="n">
        <v>0.74</v>
      </c>
      <c r="G116" s="1" t="n">
        <v>89</v>
      </c>
      <c r="J116" s="1" t="s">
        <v>207</v>
      </c>
      <c r="K116" s="1" t="s">
        <v>467</v>
      </c>
      <c r="L116" s="1" t="n">
        <v>3.12</v>
      </c>
      <c r="M116" s="1" t="n">
        <v>0.5</v>
      </c>
      <c r="N116" s="1" t="n">
        <v>19.51</v>
      </c>
      <c r="O116" s="1" t="n">
        <v>16.36</v>
      </c>
      <c r="P116" s="1" t="n">
        <v>10.36</v>
      </c>
      <c r="Q116" s="1" t="n">
        <v>43.83</v>
      </c>
    </row>
    <row r="117" customFormat="false" ht="15.75" hidden="false" customHeight="true" outlineLevel="0" collapsed="false">
      <c r="A117" s="1" t="s">
        <v>233</v>
      </c>
      <c r="B117" s="1" t="n">
        <v>116</v>
      </c>
      <c r="C117" s="1" t="n">
        <v>3.43</v>
      </c>
      <c r="D117" s="1" t="n">
        <v>1.12</v>
      </c>
      <c r="E117" s="1" t="n">
        <v>10.52</v>
      </c>
      <c r="F117" s="1" t="n">
        <v>5.49</v>
      </c>
      <c r="G117" s="1" t="n">
        <v>44</v>
      </c>
      <c r="J117" s="1" t="s">
        <v>201</v>
      </c>
      <c r="K117" s="1" t="s">
        <v>468</v>
      </c>
      <c r="L117" s="1" t="n">
        <v>3.11</v>
      </c>
      <c r="M117" s="1" t="n">
        <v>0.54</v>
      </c>
      <c r="N117" s="1" t="n">
        <v>17.89</v>
      </c>
      <c r="O117" s="1" t="n">
        <v>25.34</v>
      </c>
      <c r="P117" s="1" t="n">
        <v>3.49</v>
      </c>
      <c r="Q117" s="1" t="n">
        <v>64.79</v>
      </c>
    </row>
    <row r="118" customFormat="false" ht="15.75" hidden="false" customHeight="true" outlineLevel="0" collapsed="false">
      <c r="A118" s="1" t="s">
        <v>256</v>
      </c>
      <c r="B118" s="1" t="n">
        <v>117</v>
      </c>
      <c r="C118" s="1" t="n">
        <v>3.37</v>
      </c>
      <c r="D118" s="1" t="n">
        <v>0.16</v>
      </c>
      <c r="E118" s="1" t="n">
        <v>70.89</v>
      </c>
      <c r="F118" s="1" t="n">
        <v>0.84</v>
      </c>
      <c r="G118" s="1" t="n">
        <v>71</v>
      </c>
      <c r="J118" s="1" t="s">
        <v>469</v>
      </c>
      <c r="K118" s="1" t="s">
        <v>470</v>
      </c>
      <c r="L118" s="1" t="n">
        <v>3.03</v>
      </c>
      <c r="M118" s="1" t="n">
        <v>0.38</v>
      </c>
      <c r="N118" s="1" t="n">
        <v>24.24</v>
      </c>
      <c r="O118" s="1" t="n">
        <v>17.14</v>
      </c>
      <c r="P118" s="1" t="n">
        <v>13.38</v>
      </c>
      <c r="Q118" s="1" t="n">
        <v>62.09</v>
      </c>
    </row>
    <row r="119" customFormat="false" ht="15.75" hidden="false" customHeight="true" outlineLevel="0" collapsed="false">
      <c r="A119" s="1" t="s">
        <v>24</v>
      </c>
      <c r="B119" s="1" t="n">
        <v>118</v>
      </c>
      <c r="C119" s="1" t="n">
        <v>3.32</v>
      </c>
      <c r="D119" s="1" t="n">
        <v>1.48</v>
      </c>
      <c r="E119" s="1" t="n">
        <v>7.43</v>
      </c>
      <c r="F119" s="1" t="n">
        <v>0.27</v>
      </c>
      <c r="G119" s="1" t="n">
        <v>177</v>
      </c>
      <c r="J119" s="1" t="s">
        <v>214</v>
      </c>
      <c r="K119" s="1" t="s">
        <v>471</v>
      </c>
      <c r="L119" s="1" t="n">
        <v>3.02</v>
      </c>
      <c r="M119" s="1" t="n">
        <v>0.16</v>
      </c>
      <c r="N119" s="1" t="n">
        <v>57.04</v>
      </c>
      <c r="O119" s="1" t="n">
        <v>46.01</v>
      </c>
      <c r="P119" s="1" t="n">
        <v>58.82</v>
      </c>
      <c r="Q119" s="1" t="n">
        <v>68.58</v>
      </c>
    </row>
    <row r="120" customFormat="false" ht="15.75" hidden="false" customHeight="true" outlineLevel="0" collapsed="false">
      <c r="A120" s="1" t="s">
        <v>222</v>
      </c>
      <c r="B120" s="1" t="n">
        <v>119</v>
      </c>
      <c r="C120" s="1" t="n">
        <v>3.3</v>
      </c>
      <c r="D120" s="1" t="n">
        <v>1.67</v>
      </c>
      <c r="E120" s="1" t="n">
        <v>6.54</v>
      </c>
      <c r="F120" s="1" t="n">
        <v>4.53</v>
      </c>
      <c r="G120" s="1" t="n">
        <v>48</v>
      </c>
      <c r="J120" s="1" t="s">
        <v>57</v>
      </c>
      <c r="K120" s="1" t="s">
        <v>472</v>
      </c>
      <c r="L120" s="1" t="n">
        <v>3.01</v>
      </c>
      <c r="M120" s="1" t="n">
        <v>0.79</v>
      </c>
      <c r="N120" s="1" t="n">
        <v>11.46</v>
      </c>
      <c r="O120" s="1" t="n">
        <v>9.39</v>
      </c>
      <c r="P120" s="1" t="n">
        <v>4.23</v>
      </c>
      <c r="Q120" s="1" t="n">
        <v>37.94</v>
      </c>
    </row>
    <row r="121" customFormat="false" ht="15.75" hidden="false" customHeight="true" outlineLevel="0" collapsed="false">
      <c r="A121" s="1" t="s">
        <v>65</v>
      </c>
      <c r="B121" s="1" t="n">
        <v>119</v>
      </c>
      <c r="C121" s="1" t="n">
        <v>3.3</v>
      </c>
      <c r="D121" s="1" t="n">
        <v>0.66</v>
      </c>
      <c r="E121" s="1" t="n">
        <v>16.52</v>
      </c>
      <c r="F121" s="1" t="n">
        <v>0.41</v>
      </c>
      <c r="G121" s="1" t="n">
        <v>142</v>
      </c>
      <c r="J121" s="1" t="s">
        <v>286</v>
      </c>
      <c r="K121" s="1" t="s">
        <v>473</v>
      </c>
      <c r="L121" s="1" t="n">
        <v>3</v>
      </c>
      <c r="M121" s="1" t="n">
        <v>0.49</v>
      </c>
      <c r="N121" s="1" t="n">
        <v>18.34</v>
      </c>
      <c r="O121" s="1" t="n">
        <v>12.41</v>
      </c>
      <c r="P121" s="1" t="n">
        <v>11.32</v>
      </c>
      <c r="Q121" s="1" t="n">
        <v>43.93</v>
      </c>
    </row>
    <row r="122" customFormat="false" ht="15.75" hidden="false" customHeight="true" outlineLevel="0" collapsed="false">
      <c r="A122" s="1" t="s">
        <v>29</v>
      </c>
      <c r="B122" s="1" t="n">
        <v>119</v>
      </c>
      <c r="C122" s="1" t="n">
        <v>3.3</v>
      </c>
      <c r="D122" s="1" t="n">
        <v>1.07</v>
      </c>
      <c r="E122" s="1" t="n">
        <v>10.16</v>
      </c>
      <c r="F122" s="1" t="n">
        <v>0.32</v>
      </c>
      <c r="G122" s="1" t="n">
        <v>166</v>
      </c>
      <c r="J122" s="1" t="s">
        <v>257</v>
      </c>
      <c r="K122" s="1" t="s">
        <v>474</v>
      </c>
      <c r="L122" s="1" t="n">
        <v>2.94</v>
      </c>
      <c r="M122" s="1" t="n">
        <v>0.12</v>
      </c>
      <c r="N122" s="1" t="n">
        <v>71.82</v>
      </c>
      <c r="O122" s="1" t="n">
        <v>68.9</v>
      </c>
      <c r="P122" s="1" t="n">
        <v>70.26</v>
      </c>
      <c r="Q122" s="1" t="n">
        <v>76.51</v>
      </c>
    </row>
    <row r="123" customFormat="false" ht="15.75" hidden="false" customHeight="true" outlineLevel="0" collapsed="false">
      <c r="A123" s="1" t="s">
        <v>148</v>
      </c>
      <c r="B123" s="1" t="n">
        <v>122</v>
      </c>
      <c r="C123" s="1" t="n">
        <v>3.28</v>
      </c>
      <c r="D123" s="1" t="n">
        <v>0.34</v>
      </c>
      <c r="E123" s="1" t="n">
        <v>31.68</v>
      </c>
      <c r="F123" s="1" t="n">
        <v>0.56</v>
      </c>
      <c r="G123" s="1" t="n">
        <v>103</v>
      </c>
      <c r="J123" s="1" t="s">
        <v>148</v>
      </c>
      <c r="K123" s="1" t="s">
        <v>475</v>
      </c>
      <c r="L123" s="1" t="n">
        <v>2.94</v>
      </c>
      <c r="M123" s="1" t="n">
        <v>0.34</v>
      </c>
      <c r="N123" s="1" t="n">
        <v>25.48</v>
      </c>
      <c r="O123" s="1" t="n">
        <v>37.3</v>
      </c>
      <c r="P123" s="1" t="n">
        <v>11.66</v>
      </c>
      <c r="Q123" s="1" t="n">
        <v>38.05</v>
      </c>
    </row>
    <row r="124" customFormat="false" ht="15.75" hidden="false" customHeight="true" outlineLevel="0" collapsed="false">
      <c r="A124" s="1" t="s">
        <v>57</v>
      </c>
      <c r="B124" s="1" t="n">
        <v>123</v>
      </c>
      <c r="C124" s="1" t="n">
        <v>3.19</v>
      </c>
      <c r="D124" s="1" t="n">
        <v>0.69</v>
      </c>
      <c r="E124" s="1" t="n">
        <v>14.76</v>
      </c>
      <c r="F124" s="1" t="n">
        <v>0.38</v>
      </c>
      <c r="G124" s="1" t="n">
        <v>151</v>
      </c>
      <c r="J124" s="1" t="s">
        <v>144</v>
      </c>
      <c r="K124" s="1" t="s">
        <v>476</v>
      </c>
      <c r="L124" s="1" t="n">
        <v>2.93</v>
      </c>
      <c r="M124" s="1" t="n">
        <v>0.28</v>
      </c>
      <c r="N124" s="1" t="n">
        <v>30.75</v>
      </c>
      <c r="O124" s="1" t="n">
        <v>34.1</v>
      </c>
      <c r="P124" s="1" t="n">
        <v>13.58</v>
      </c>
      <c r="Q124" s="1" t="n">
        <v>62.81</v>
      </c>
    </row>
    <row r="125" customFormat="false" ht="15.75" hidden="false" customHeight="true" outlineLevel="0" collapsed="false">
      <c r="A125" s="1" t="s">
        <v>104</v>
      </c>
      <c r="B125" s="1" t="n">
        <v>124</v>
      </c>
      <c r="C125" s="1" t="n">
        <v>3.17</v>
      </c>
      <c r="D125" s="1" t="n">
        <v>0.35</v>
      </c>
      <c r="E125" s="1" t="n">
        <v>28.76</v>
      </c>
      <c r="F125" s="1" t="n">
        <v>0.54</v>
      </c>
      <c r="G125" s="1" t="n">
        <v>110</v>
      </c>
      <c r="J125" s="1" t="s">
        <v>64</v>
      </c>
      <c r="K125" s="1" t="s">
        <v>477</v>
      </c>
      <c r="L125" s="1" t="n">
        <v>2.9</v>
      </c>
      <c r="M125" s="1" t="n">
        <v>0.83</v>
      </c>
      <c r="N125" s="1" t="n">
        <v>10.12</v>
      </c>
      <c r="O125" s="1" t="n">
        <v>9.91</v>
      </c>
      <c r="P125" s="1" t="n">
        <v>2.44</v>
      </c>
      <c r="Q125" s="1" t="n">
        <v>42.85</v>
      </c>
    </row>
    <row r="126" customFormat="false" ht="15.75" hidden="false" customHeight="true" outlineLevel="0" collapsed="false">
      <c r="A126" s="1" t="s">
        <v>144</v>
      </c>
      <c r="B126" s="1" t="n">
        <v>124</v>
      </c>
      <c r="C126" s="1" t="n">
        <v>3.17</v>
      </c>
      <c r="D126" s="1" t="n">
        <v>0.27</v>
      </c>
      <c r="E126" s="1" t="n">
        <v>37.28</v>
      </c>
      <c r="F126" s="1" t="n">
        <v>0.61</v>
      </c>
      <c r="G126" s="1" t="n">
        <v>100</v>
      </c>
      <c r="J126" s="1" t="s">
        <v>222</v>
      </c>
      <c r="K126" s="1" t="s">
        <v>478</v>
      </c>
      <c r="L126" s="1" t="n">
        <v>2.9</v>
      </c>
      <c r="M126" s="1" t="n">
        <v>1.2</v>
      </c>
      <c r="N126" s="1" t="n">
        <v>7</v>
      </c>
      <c r="O126" s="1" t="n">
        <v>8.44</v>
      </c>
      <c r="P126" s="1" t="n">
        <v>2.58</v>
      </c>
      <c r="Q126" s="1" t="n">
        <v>15.77</v>
      </c>
    </row>
    <row r="127" customFormat="false" ht="15.75" hidden="false" customHeight="true" outlineLevel="0" collapsed="false">
      <c r="A127" s="1" t="s">
        <v>45</v>
      </c>
      <c r="B127" s="1" t="n">
        <v>126</v>
      </c>
      <c r="C127" s="1" t="n">
        <v>3.15</v>
      </c>
      <c r="D127" s="1" t="n">
        <v>0.68</v>
      </c>
      <c r="E127" s="1" t="n">
        <v>14.6</v>
      </c>
      <c r="F127" s="1" t="n">
        <v>0.38</v>
      </c>
      <c r="G127" s="1" t="n">
        <v>151</v>
      </c>
      <c r="J127" s="1" t="s">
        <v>236</v>
      </c>
      <c r="K127" s="1" t="s">
        <v>479</v>
      </c>
      <c r="L127" s="1" t="n">
        <v>2.83</v>
      </c>
      <c r="M127" s="1" t="n">
        <v>0.46</v>
      </c>
      <c r="N127" s="1" t="n">
        <v>17.4</v>
      </c>
      <c r="O127" s="1" t="n">
        <v>11.6</v>
      </c>
      <c r="P127" s="1" t="n">
        <v>10.04</v>
      </c>
      <c r="Q127" s="1" t="n">
        <v>45.23</v>
      </c>
    </row>
    <row r="128" customFormat="false" ht="15.75" hidden="false" customHeight="true" outlineLevel="0" collapsed="false">
      <c r="A128" s="1" t="s">
        <v>214</v>
      </c>
      <c r="B128" s="1" t="n">
        <v>127</v>
      </c>
      <c r="C128" s="1" t="n">
        <v>3.07</v>
      </c>
      <c r="D128" s="1" t="n">
        <v>0.15</v>
      </c>
      <c r="E128" s="1" t="n">
        <v>62.86</v>
      </c>
      <c r="F128" s="1" t="n">
        <v>0.79</v>
      </c>
      <c r="G128" s="1" t="n">
        <v>83</v>
      </c>
      <c r="J128" s="1" t="s">
        <v>157</v>
      </c>
      <c r="K128" s="1" t="s">
        <v>480</v>
      </c>
      <c r="L128" s="1" t="n">
        <v>2.81</v>
      </c>
      <c r="M128" s="1" t="n">
        <v>0.23</v>
      </c>
      <c r="N128" s="1" t="n">
        <v>34.4</v>
      </c>
      <c r="O128" s="1" t="n">
        <v>48.78</v>
      </c>
      <c r="P128" s="1" t="n">
        <v>13.94</v>
      </c>
      <c r="Q128" s="1" t="n">
        <v>59.89</v>
      </c>
    </row>
    <row r="129" customFormat="false" ht="15.75" hidden="false" customHeight="true" outlineLevel="0" collapsed="false">
      <c r="A129" s="1" t="s">
        <v>72</v>
      </c>
      <c r="B129" s="1" t="n">
        <v>128</v>
      </c>
      <c r="C129" s="1" t="n">
        <v>3.06</v>
      </c>
      <c r="D129" s="1" t="n">
        <v>0.48</v>
      </c>
      <c r="E129" s="1" t="n">
        <v>19.53</v>
      </c>
      <c r="F129" s="1" t="n">
        <v>38.06</v>
      </c>
      <c r="G129" s="1" t="n">
        <v>4</v>
      </c>
      <c r="J129" s="1" t="s">
        <v>219</v>
      </c>
      <c r="K129" s="1" t="s">
        <v>481</v>
      </c>
      <c r="L129" s="1" t="n">
        <v>2.81</v>
      </c>
      <c r="M129" s="1" t="n">
        <v>0.69</v>
      </c>
      <c r="N129" s="1" t="n">
        <v>11.45</v>
      </c>
      <c r="O129" s="1" t="n">
        <v>9.93</v>
      </c>
      <c r="P129" s="1" t="n">
        <v>2.88</v>
      </c>
      <c r="Q129" s="1" t="n">
        <v>52.44</v>
      </c>
    </row>
    <row r="130" customFormat="false" ht="15.75" hidden="false" customHeight="true" outlineLevel="0" collapsed="false">
      <c r="A130" s="1" t="s">
        <v>469</v>
      </c>
      <c r="B130" s="1" t="n">
        <v>129</v>
      </c>
      <c r="C130" s="1" t="n">
        <v>2.99</v>
      </c>
      <c r="D130" s="1" t="n">
        <v>0.37</v>
      </c>
      <c r="E130" s="1" t="n">
        <v>24.2</v>
      </c>
      <c r="F130" s="1" t="n">
        <v>8.45</v>
      </c>
      <c r="G130" s="1" t="n">
        <v>25</v>
      </c>
      <c r="J130" s="1" t="s">
        <v>27</v>
      </c>
      <c r="K130" s="1" t="s">
        <v>482</v>
      </c>
      <c r="L130" s="1" t="n">
        <v>2.77</v>
      </c>
      <c r="M130" s="1" t="n">
        <v>1.05</v>
      </c>
      <c r="N130" s="1" t="n">
        <v>7.3</v>
      </c>
      <c r="O130" s="1" t="n">
        <v>4.67</v>
      </c>
      <c r="P130" s="1" t="n">
        <v>2.56</v>
      </c>
      <c r="Q130" s="1" t="n">
        <v>32.54</v>
      </c>
    </row>
    <row r="131" customFormat="false" ht="15.75" hidden="false" customHeight="true" outlineLevel="0" collapsed="false">
      <c r="A131" s="1" t="s">
        <v>133</v>
      </c>
      <c r="B131" s="1" t="n">
        <v>130</v>
      </c>
      <c r="C131" s="1" t="n">
        <v>2.98</v>
      </c>
      <c r="D131" s="1" t="n">
        <v>0.31</v>
      </c>
      <c r="E131" s="1" t="n">
        <v>28.66</v>
      </c>
      <c r="F131" s="1" t="n">
        <v>0.54</v>
      </c>
      <c r="G131" s="1" t="n">
        <v>110</v>
      </c>
      <c r="J131" s="1" t="s">
        <v>110</v>
      </c>
      <c r="K131" s="1" t="s">
        <v>483</v>
      </c>
      <c r="L131" s="1" t="n">
        <v>2.71</v>
      </c>
      <c r="M131" s="1" t="n">
        <v>0.25</v>
      </c>
      <c r="N131" s="1" t="n">
        <v>29.33</v>
      </c>
      <c r="O131" s="1" t="n">
        <v>35.38</v>
      </c>
      <c r="P131" s="1" t="n">
        <v>12.85</v>
      </c>
      <c r="Q131" s="1" t="n">
        <v>55.48</v>
      </c>
    </row>
    <row r="132" customFormat="false" ht="15.75" hidden="false" customHeight="true" outlineLevel="0" collapsed="false">
      <c r="A132" s="1" t="s">
        <v>93</v>
      </c>
      <c r="B132" s="1" t="n">
        <v>131</v>
      </c>
      <c r="C132" s="1" t="n">
        <v>2.96</v>
      </c>
      <c r="D132" s="1" t="n">
        <v>0.23</v>
      </c>
      <c r="E132" s="1" t="n">
        <v>38.09</v>
      </c>
      <c r="F132" s="1" t="n">
        <v>0.62</v>
      </c>
      <c r="G132" s="1" t="n">
        <v>99</v>
      </c>
      <c r="J132" s="1" t="s">
        <v>233</v>
      </c>
      <c r="K132" s="1" t="s">
        <v>484</v>
      </c>
      <c r="L132" s="1" t="n">
        <v>2.69</v>
      </c>
      <c r="M132" s="1" t="n">
        <v>0.79</v>
      </c>
      <c r="N132" s="1" t="n">
        <v>9.17</v>
      </c>
      <c r="O132" s="1" t="n">
        <v>7.16</v>
      </c>
      <c r="P132" s="1" t="n">
        <v>2.47</v>
      </c>
      <c r="Q132" s="1" t="n">
        <v>43.62</v>
      </c>
    </row>
    <row r="133" customFormat="false" ht="15.75" hidden="false" customHeight="true" outlineLevel="0" collapsed="false">
      <c r="A133" s="1" t="s">
        <v>257</v>
      </c>
      <c r="B133" s="1" t="n">
        <v>132</v>
      </c>
      <c r="C133" s="1" t="n">
        <v>2.88</v>
      </c>
      <c r="D133" s="1" t="n">
        <v>0.12</v>
      </c>
      <c r="E133" s="1" t="n">
        <v>69.34</v>
      </c>
      <c r="F133" s="1" t="n">
        <v>0.83</v>
      </c>
      <c r="G133" s="1" t="n">
        <v>73</v>
      </c>
      <c r="J133" s="1" t="s">
        <v>258</v>
      </c>
      <c r="K133" s="1" t="s">
        <v>485</v>
      </c>
      <c r="L133" s="1" t="n">
        <v>2.68</v>
      </c>
      <c r="M133" s="1" t="n">
        <v>0.33</v>
      </c>
      <c r="N133" s="1" t="n">
        <v>21.72</v>
      </c>
      <c r="O133" s="1" t="n">
        <v>12.51</v>
      </c>
      <c r="P133" s="1" t="n">
        <v>14.5</v>
      </c>
      <c r="Q133" s="1" t="n">
        <v>56.51</v>
      </c>
    </row>
    <row r="134" customFormat="false" ht="15.75" hidden="false" customHeight="true" outlineLevel="0" collapsed="false">
      <c r="A134" s="1" t="s">
        <v>226</v>
      </c>
      <c r="B134" s="1" t="n">
        <v>132</v>
      </c>
      <c r="C134" s="1" t="n">
        <v>2.88</v>
      </c>
      <c r="D134" s="1" t="n">
        <v>0.45</v>
      </c>
      <c r="E134" s="1" t="n">
        <v>18.38</v>
      </c>
      <c r="F134" s="1" t="n">
        <v>6.79</v>
      </c>
      <c r="G134" s="1" t="n">
        <v>35</v>
      </c>
      <c r="J134" s="1" t="s">
        <v>155</v>
      </c>
      <c r="K134" s="1" t="s">
        <v>486</v>
      </c>
      <c r="L134" s="1" t="n">
        <v>2.63</v>
      </c>
      <c r="M134" s="1" t="n">
        <v>0.16</v>
      </c>
      <c r="N134" s="1" t="n">
        <v>43.15</v>
      </c>
      <c r="O134" s="1" t="n">
        <v>32.38</v>
      </c>
      <c r="P134" s="1" t="n">
        <v>45.71</v>
      </c>
      <c r="Q134" s="1" t="n">
        <v>54.27</v>
      </c>
    </row>
    <row r="135" customFormat="false" ht="15.75" hidden="false" customHeight="true" outlineLevel="0" collapsed="false">
      <c r="A135" s="1" t="s">
        <v>69</v>
      </c>
      <c r="B135" s="1" t="n">
        <v>134</v>
      </c>
      <c r="C135" s="1" t="n">
        <v>2.87</v>
      </c>
      <c r="D135" s="1" t="n">
        <v>0.34</v>
      </c>
      <c r="E135" s="1" t="n">
        <v>24.29</v>
      </c>
      <c r="F135" s="1" t="n">
        <v>0.49</v>
      </c>
      <c r="G135" s="1" t="n">
        <v>121</v>
      </c>
      <c r="J135" s="1" t="s">
        <v>237</v>
      </c>
      <c r="K135" s="1" t="s">
        <v>487</v>
      </c>
      <c r="L135" s="1" t="n">
        <v>2.63</v>
      </c>
      <c r="M135" s="1" t="n">
        <v>0.43</v>
      </c>
      <c r="N135" s="1" t="n">
        <v>16.04</v>
      </c>
      <c r="O135" s="1" t="n">
        <v>11.09</v>
      </c>
      <c r="P135" s="1" t="n">
        <v>9.5</v>
      </c>
      <c r="Q135" s="1" t="n">
        <v>39.15</v>
      </c>
    </row>
    <row r="136" customFormat="false" ht="15.75" hidden="false" customHeight="true" outlineLevel="0" collapsed="false">
      <c r="A136" s="1" t="s">
        <v>98</v>
      </c>
      <c r="B136" s="1" t="n">
        <v>135</v>
      </c>
      <c r="C136" s="1" t="n">
        <v>2.85</v>
      </c>
      <c r="D136" s="1" t="n">
        <v>0.23</v>
      </c>
      <c r="E136" s="1" t="n">
        <v>35.29</v>
      </c>
      <c r="F136" s="1" t="n">
        <v>0.59</v>
      </c>
      <c r="G136" s="1" t="n">
        <v>101</v>
      </c>
      <c r="J136" s="1" t="s">
        <v>99</v>
      </c>
      <c r="K136" s="1" t="s">
        <v>488</v>
      </c>
      <c r="L136" s="1" t="n">
        <v>2.62</v>
      </c>
      <c r="M136" s="1" t="n">
        <v>0.2</v>
      </c>
      <c r="N136" s="1" t="n">
        <v>34.23</v>
      </c>
      <c r="O136" s="1" t="n">
        <v>41.9</v>
      </c>
      <c r="P136" s="1" t="n">
        <v>14.07</v>
      </c>
      <c r="Q136" s="1" t="n">
        <v>68.01</v>
      </c>
    </row>
    <row r="137" customFormat="false" ht="15.75" hidden="false" customHeight="true" outlineLevel="0" collapsed="false">
      <c r="A137" s="1" t="s">
        <v>64</v>
      </c>
      <c r="B137" s="1" t="n">
        <v>136</v>
      </c>
      <c r="C137" s="1" t="n">
        <v>2.81</v>
      </c>
      <c r="D137" s="1" t="n">
        <v>0.83</v>
      </c>
      <c r="E137" s="1" t="n">
        <v>9.53</v>
      </c>
      <c r="F137" s="1" t="n">
        <v>0.31</v>
      </c>
      <c r="G137" s="1" t="n">
        <v>167</v>
      </c>
      <c r="J137" s="1" t="s">
        <v>77</v>
      </c>
      <c r="K137" s="1" t="s">
        <v>489</v>
      </c>
      <c r="L137" s="1" t="n">
        <v>2.61</v>
      </c>
      <c r="M137" s="1" t="n">
        <v>0.23</v>
      </c>
      <c r="N137" s="1" t="n">
        <v>29.54</v>
      </c>
      <c r="O137" s="1" t="n">
        <v>15.51</v>
      </c>
      <c r="P137" s="1" t="n">
        <v>41.56</v>
      </c>
      <c r="Q137" s="1" t="n">
        <v>39.99</v>
      </c>
    </row>
    <row r="138" customFormat="false" ht="15.75" hidden="false" customHeight="true" outlineLevel="0" collapsed="false">
      <c r="A138" s="1" t="s">
        <v>99</v>
      </c>
      <c r="B138" s="1" t="n">
        <v>137</v>
      </c>
      <c r="C138" s="1" t="n">
        <v>2.77</v>
      </c>
      <c r="D138" s="1" t="n">
        <v>0.2</v>
      </c>
      <c r="E138" s="1" t="n">
        <v>38.35</v>
      </c>
      <c r="F138" s="1" t="n">
        <v>2.4</v>
      </c>
      <c r="G138" s="1" t="n">
        <v>52</v>
      </c>
      <c r="J138" s="1" t="s">
        <v>16</v>
      </c>
      <c r="K138" s="1" t="s">
        <v>490</v>
      </c>
      <c r="L138" s="1" t="n">
        <v>2.61</v>
      </c>
      <c r="M138" s="1" t="n">
        <v>1.06</v>
      </c>
      <c r="N138" s="1" t="n">
        <v>6.42</v>
      </c>
      <c r="O138" s="1" t="n">
        <v>2.19</v>
      </c>
      <c r="P138" s="1" t="n">
        <v>4.88</v>
      </c>
      <c r="Q138" s="1" t="n">
        <v>24.78</v>
      </c>
    </row>
    <row r="139" customFormat="false" ht="15.75" hidden="false" customHeight="true" outlineLevel="0" collapsed="false">
      <c r="A139" s="1" t="s">
        <v>236</v>
      </c>
      <c r="B139" s="1" t="n">
        <v>138</v>
      </c>
      <c r="C139" s="1" t="n">
        <v>2.67</v>
      </c>
      <c r="D139" s="1" t="n">
        <v>0.46</v>
      </c>
      <c r="E139" s="1" t="n">
        <v>15.51</v>
      </c>
      <c r="F139" s="1" t="n">
        <v>6.6</v>
      </c>
      <c r="G139" s="1" t="n">
        <v>38</v>
      </c>
      <c r="J139" s="1" t="s">
        <v>123</v>
      </c>
      <c r="K139" s="1" t="s">
        <v>491</v>
      </c>
      <c r="L139" s="1" t="n">
        <v>2.57</v>
      </c>
      <c r="M139" s="1" t="n">
        <v>1.03</v>
      </c>
      <c r="N139" s="1" t="n">
        <v>6.39</v>
      </c>
      <c r="O139" s="1" t="n">
        <v>4.25</v>
      </c>
      <c r="P139" s="1" t="n">
        <v>2.38</v>
      </c>
      <c r="Q139" s="1" t="n">
        <v>25.81</v>
      </c>
    </row>
    <row r="140" customFormat="false" ht="15.75" hidden="false" customHeight="true" outlineLevel="0" collapsed="false">
      <c r="A140" s="1" t="s">
        <v>77</v>
      </c>
      <c r="B140" s="1" t="n">
        <v>139</v>
      </c>
      <c r="C140" s="1" t="n">
        <v>2.66</v>
      </c>
      <c r="D140" s="1" t="n">
        <v>0.23</v>
      </c>
      <c r="E140" s="1" t="n">
        <v>30.73</v>
      </c>
      <c r="F140" s="1" t="n">
        <v>0.55</v>
      </c>
      <c r="G140" s="1" t="n">
        <v>106</v>
      </c>
      <c r="J140" s="1" t="s">
        <v>24</v>
      </c>
      <c r="K140" s="1" t="s">
        <v>492</v>
      </c>
      <c r="L140" s="1" t="n">
        <v>2.55</v>
      </c>
      <c r="M140" s="1" t="n">
        <v>1.45</v>
      </c>
      <c r="N140" s="1" t="n">
        <v>4.5</v>
      </c>
      <c r="O140" s="1" t="n">
        <v>5.97</v>
      </c>
      <c r="P140" s="1" t="n">
        <v>1.87</v>
      </c>
      <c r="Q140" s="1" t="n">
        <v>8.15</v>
      </c>
    </row>
    <row r="141" customFormat="false" ht="15.75" hidden="false" customHeight="true" outlineLevel="0" collapsed="false">
      <c r="A141" s="1" t="s">
        <v>16</v>
      </c>
      <c r="B141" s="1" t="n">
        <v>139</v>
      </c>
      <c r="C141" s="1" t="n">
        <v>2.66</v>
      </c>
      <c r="D141" s="1" t="n">
        <v>1.1</v>
      </c>
      <c r="E141" s="1" t="n">
        <v>6.43</v>
      </c>
      <c r="F141" s="1" t="n">
        <v>0.25</v>
      </c>
      <c r="G141" s="1" t="n">
        <v>180</v>
      </c>
      <c r="J141" s="1" t="s">
        <v>93</v>
      </c>
      <c r="K141" s="1" t="s">
        <v>493</v>
      </c>
      <c r="L141" s="1" t="n">
        <v>2.53</v>
      </c>
      <c r="M141" s="1" t="n">
        <v>0.22</v>
      </c>
      <c r="N141" s="1" t="n">
        <v>29.2</v>
      </c>
      <c r="O141" s="1" t="n">
        <v>43.49</v>
      </c>
      <c r="P141" s="1" t="n">
        <v>11.28</v>
      </c>
      <c r="Q141" s="1" t="n">
        <v>50.76</v>
      </c>
    </row>
    <row r="142" customFormat="false" ht="15.75" hidden="false" customHeight="true" outlineLevel="0" collapsed="false">
      <c r="A142" s="1" t="s">
        <v>285</v>
      </c>
      <c r="B142" s="1" t="n">
        <v>141</v>
      </c>
      <c r="C142" s="1" t="n">
        <v>2.65</v>
      </c>
      <c r="D142" s="1" t="n">
        <v>0.13</v>
      </c>
      <c r="E142" s="1" t="n">
        <v>54.06</v>
      </c>
      <c r="F142" s="1" t="n">
        <v>0.74</v>
      </c>
      <c r="G142" s="1" t="n">
        <v>89</v>
      </c>
      <c r="J142" s="1" t="s">
        <v>253</v>
      </c>
      <c r="K142" s="1" t="s">
        <v>494</v>
      </c>
      <c r="L142" s="1" t="n">
        <v>2.49</v>
      </c>
      <c r="M142" s="1" t="n">
        <v>0.34</v>
      </c>
      <c r="N142" s="1" t="n">
        <v>18.24</v>
      </c>
      <c r="O142" s="1" t="n">
        <v>10.72</v>
      </c>
      <c r="P142" s="1" t="n">
        <v>11.48</v>
      </c>
      <c r="Q142" s="1" t="n">
        <v>49.32</v>
      </c>
    </row>
    <row r="143" customFormat="false" ht="15.75" hidden="false" customHeight="true" outlineLevel="0" collapsed="false">
      <c r="A143" s="1" t="s">
        <v>237</v>
      </c>
      <c r="B143" s="1" t="n">
        <v>142</v>
      </c>
      <c r="C143" s="1" t="n">
        <v>2.64</v>
      </c>
      <c r="D143" s="1" t="n">
        <v>0.63</v>
      </c>
      <c r="E143" s="1" t="n">
        <v>11.05</v>
      </c>
      <c r="F143" s="1" t="n">
        <v>5.37</v>
      </c>
      <c r="G143" s="1" t="n">
        <v>46</v>
      </c>
      <c r="J143" s="1" t="s">
        <v>190</v>
      </c>
      <c r="K143" s="1" t="s">
        <v>495</v>
      </c>
      <c r="L143" s="1" t="n">
        <v>2.46</v>
      </c>
      <c r="M143" s="1" t="n">
        <v>0.48</v>
      </c>
      <c r="N143" s="1" t="n">
        <v>12.65</v>
      </c>
      <c r="O143" s="1" t="n">
        <v>5.46</v>
      </c>
      <c r="P143" s="1" t="n">
        <v>8.6</v>
      </c>
      <c r="Q143" s="1" t="n">
        <v>43.12</v>
      </c>
    </row>
    <row r="144" customFormat="false" ht="15.75" hidden="false" customHeight="true" outlineLevel="0" collapsed="false">
      <c r="A144" s="1" t="s">
        <v>238</v>
      </c>
      <c r="B144" s="1" t="n">
        <v>143</v>
      </c>
      <c r="C144" s="1" t="n">
        <v>2.49</v>
      </c>
      <c r="D144" s="1" t="n">
        <v>0.74</v>
      </c>
      <c r="E144" s="1" t="n">
        <v>8.4</v>
      </c>
      <c r="F144" s="1" t="n">
        <v>5.06</v>
      </c>
      <c r="G144" s="1" t="n">
        <v>47</v>
      </c>
      <c r="J144" s="1" t="s">
        <v>58</v>
      </c>
      <c r="K144" s="1" t="s">
        <v>496</v>
      </c>
      <c r="L144" s="1" t="n">
        <v>2.43</v>
      </c>
      <c r="M144" s="1" t="n">
        <v>0.3</v>
      </c>
      <c r="N144" s="1" t="n">
        <v>19.62</v>
      </c>
      <c r="O144" s="1" t="n">
        <v>18.87</v>
      </c>
      <c r="P144" s="1" t="n">
        <v>8.95</v>
      </c>
      <c r="Q144" s="1" t="n">
        <v>44.75</v>
      </c>
    </row>
    <row r="145" customFormat="false" ht="15.75" hidden="false" customHeight="true" outlineLevel="0" collapsed="false">
      <c r="A145" s="1" t="s">
        <v>155</v>
      </c>
      <c r="B145" s="1" t="n">
        <v>144</v>
      </c>
      <c r="C145" s="1" t="n">
        <v>2.48</v>
      </c>
      <c r="D145" s="1" t="n">
        <v>0.15</v>
      </c>
      <c r="E145" s="1" t="n">
        <v>40.85</v>
      </c>
      <c r="F145" s="1" t="n">
        <v>0.64</v>
      </c>
      <c r="G145" s="1" t="n">
        <v>97</v>
      </c>
      <c r="J145" s="1" t="s">
        <v>98</v>
      </c>
      <c r="K145" s="1" t="s">
        <v>497</v>
      </c>
      <c r="L145" s="1" t="n">
        <v>2.36</v>
      </c>
      <c r="M145" s="1" t="n">
        <v>0.23</v>
      </c>
      <c r="N145" s="1" t="n">
        <v>24.25</v>
      </c>
      <c r="O145" s="1" t="n">
        <v>26.28</v>
      </c>
      <c r="P145" s="1" t="n">
        <v>11.79</v>
      </c>
      <c r="Q145" s="1" t="n">
        <v>46</v>
      </c>
    </row>
    <row r="146" customFormat="false" ht="15.75" hidden="false" customHeight="true" outlineLevel="0" collapsed="false">
      <c r="A146" s="1" t="s">
        <v>50</v>
      </c>
      <c r="B146" s="1" t="n">
        <v>144</v>
      </c>
      <c r="C146" s="1" t="n">
        <v>2.48</v>
      </c>
      <c r="D146" s="1" t="n">
        <v>0.63</v>
      </c>
      <c r="E146" s="1" t="n">
        <v>9.76</v>
      </c>
      <c r="F146" s="1" t="n">
        <v>0.31</v>
      </c>
      <c r="G146" s="1" t="n">
        <v>167</v>
      </c>
      <c r="J146" s="1" t="s">
        <v>50</v>
      </c>
      <c r="K146" s="1" t="s">
        <v>498</v>
      </c>
      <c r="L146" s="1" t="n">
        <v>2.32</v>
      </c>
      <c r="M146" s="1" t="n">
        <v>0.64</v>
      </c>
      <c r="N146" s="1" t="n">
        <v>8.39</v>
      </c>
      <c r="O146" s="1" t="n">
        <v>7.26</v>
      </c>
      <c r="P146" s="1" t="n">
        <v>2.13</v>
      </c>
      <c r="Q146" s="1" t="n">
        <v>38.25</v>
      </c>
    </row>
    <row r="147" customFormat="false" ht="15.75" hidden="false" customHeight="true" outlineLevel="0" collapsed="false">
      <c r="A147" s="1" t="s">
        <v>110</v>
      </c>
      <c r="B147" s="1" t="n">
        <v>146</v>
      </c>
      <c r="C147" s="1" t="n">
        <v>2.47</v>
      </c>
      <c r="D147" s="1" t="n">
        <v>0.24</v>
      </c>
      <c r="E147" s="1" t="n">
        <v>25.37</v>
      </c>
      <c r="F147" s="1" t="n">
        <v>0.5</v>
      </c>
      <c r="G147" s="1" t="n">
        <v>116</v>
      </c>
      <c r="J147" s="1" t="s">
        <v>271</v>
      </c>
      <c r="K147" s="1" t="s">
        <v>499</v>
      </c>
      <c r="L147" s="1" t="n">
        <v>2.29</v>
      </c>
      <c r="M147" s="1" t="n">
        <v>0.08</v>
      </c>
      <c r="N147" s="1" t="n">
        <v>65.61</v>
      </c>
      <c r="O147" s="1" t="n">
        <v>60.79</v>
      </c>
      <c r="P147" s="1" t="n">
        <v>70.97</v>
      </c>
      <c r="Q147" s="1" t="n">
        <v>65.46</v>
      </c>
    </row>
    <row r="148" customFormat="false" ht="15.75" hidden="false" customHeight="true" outlineLevel="0" collapsed="false">
      <c r="A148" s="1" t="s">
        <v>219</v>
      </c>
      <c r="B148" s="1" t="n">
        <v>147</v>
      </c>
      <c r="C148" s="1" t="n">
        <v>2.41</v>
      </c>
      <c r="D148" s="1" t="n">
        <v>0.5</v>
      </c>
      <c r="E148" s="1" t="n">
        <v>11.63</v>
      </c>
      <c r="F148" s="1" t="n">
        <v>0.34</v>
      </c>
      <c r="G148" s="1" t="n">
        <v>161</v>
      </c>
      <c r="J148" s="1" t="s">
        <v>95</v>
      </c>
      <c r="K148" s="1" t="s">
        <v>500</v>
      </c>
      <c r="L148" s="1" t="n">
        <v>2.23</v>
      </c>
      <c r="M148" s="1" t="n">
        <v>0.23</v>
      </c>
      <c r="N148" s="1" t="n">
        <v>21.58</v>
      </c>
      <c r="O148" s="1" t="n">
        <v>15.2</v>
      </c>
      <c r="P148" s="1" t="n">
        <v>12.85</v>
      </c>
      <c r="Q148" s="1" t="n">
        <v>51.44</v>
      </c>
    </row>
    <row r="149" customFormat="false" ht="15.75" hidden="false" customHeight="true" outlineLevel="0" collapsed="false">
      <c r="A149" s="1" t="s">
        <v>14</v>
      </c>
      <c r="B149" s="1" t="n">
        <v>148</v>
      </c>
      <c r="C149" s="1" t="n">
        <v>2.37</v>
      </c>
      <c r="D149" s="1" t="n">
        <v>0.71</v>
      </c>
      <c r="E149" s="1" t="n">
        <v>7.88</v>
      </c>
      <c r="F149" s="1" t="n">
        <v>0.28</v>
      </c>
      <c r="G149" s="1" t="n">
        <v>175</v>
      </c>
      <c r="J149" s="1" t="s">
        <v>209</v>
      </c>
      <c r="K149" s="1" t="s">
        <v>501</v>
      </c>
      <c r="L149" s="1" t="n">
        <v>2.16</v>
      </c>
      <c r="M149" s="1" t="n">
        <v>0.07</v>
      </c>
      <c r="N149" s="1" t="n">
        <v>66.48</v>
      </c>
      <c r="O149" s="1" t="n">
        <v>66.36</v>
      </c>
      <c r="P149" s="1" t="n">
        <v>67.89</v>
      </c>
      <c r="Q149" s="1" t="n">
        <v>65.22</v>
      </c>
    </row>
    <row r="150" customFormat="false" ht="15.75" hidden="false" customHeight="true" outlineLevel="0" collapsed="false">
      <c r="A150" s="1" t="s">
        <v>95</v>
      </c>
      <c r="B150" s="1" t="n">
        <v>149</v>
      </c>
      <c r="C150" s="1" t="n">
        <v>2.36</v>
      </c>
      <c r="D150" s="1" t="n">
        <v>0.22</v>
      </c>
      <c r="E150" s="1" t="n">
        <v>25.35</v>
      </c>
      <c r="F150" s="1" t="n">
        <v>0.5</v>
      </c>
      <c r="G150" s="1" t="n">
        <v>116</v>
      </c>
      <c r="J150" s="1" t="s">
        <v>238</v>
      </c>
      <c r="K150" s="1" t="s">
        <v>502</v>
      </c>
      <c r="L150" s="1" t="n">
        <v>2.14</v>
      </c>
      <c r="M150" s="1" t="n">
        <v>0.53</v>
      </c>
      <c r="N150" s="1" t="n">
        <v>8.61</v>
      </c>
      <c r="O150" s="1" t="n">
        <v>8.47</v>
      </c>
      <c r="P150" s="1" t="n">
        <v>2.48</v>
      </c>
      <c r="Q150" s="1" t="n">
        <v>30.38</v>
      </c>
    </row>
    <row r="151" customFormat="false" ht="15.75" hidden="false" customHeight="true" outlineLevel="0" collapsed="false">
      <c r="A151" s="1" t="s">
        <v>58</v>
      </c>
      <c r="B151" s="1" t="n">
        <v>150</v>
      </c>
      <c r="C151" s="1" t="n">
        <v>2.34</v>
      </c>
      <c r="D151" s="1" t="n">
        <v>0.3</v>
      </c>
      <c r="E151" s="1" t="n">
        <v>18.19</v>
      </c>
      <c r="F151" s="1" t="n">
        <v>0.43</v>
      </c>
      <c r="G151" s="1" t="n">
        <v>137</v>
      </c>
      <c r="J151" s="1" t="s">
        <v>49</v>
      </c>
      <c r="K151" s="1" t="s">
        <v>503</v>
      </c>
      <c r="L151" s="1" t="n">
        <v>2.1</v>
      </c>
      <c r="M151" s="1" t="n">
        <v>0.31</v>
      </c>
      <c r="N151" s="1" t="n">
        <v>14.24</v>
      </c>
      <c r="O151" s="1" t="n">
        <v>10</v>
      </c>
      <c r="P151" s="1" t="n">
        <v>7.92</v>
      </c>
      <c r="Q151" s="1" t="n">
        <v>36.48</v>
      </c>
    </row>
    <row r="152" customFormat="false" ht="15.75" hidden="false" customHeight="true" outlineLevel="0" collapsed="false">
      <c r="A152" s="1" t="s">
        <v>27</v>
      </c>
      <c r="B152" s="1" t="n">
        <v>151</v>
      </c>
      <c r="C152" s="1" t="n">
        <v>2.29</v>
      </c>
      <c r="D152" s="1" t="n">
        <v>1.01</v>
      </c>
      <c r="E152" s="1" t="n">
        <v>5.21</v>
      </c>
      <c r="F152" s="1" t="n">
        <v>0.23</v>
      </c>
      <c r="G152" s="1" t="n">
        <v>185</v>
      </c>
      <c r="J152" s="1" t="s">
        <v>504</v>
      </c>
      <c r="K152" s="1" t="s">
        <v>505</v>
      </c>
      <c r="L152" s="1" t="n">
        <v>2.02</v>
      </c>
      <c r="M152" s="1" t="n">
        <v>0.13</v>
      </c>
      <c r="N152" s="1" t="n">
        <v>31.54</v>
      </c>
      <c r="O152" s="1" t="n">
        <v>41.54</v>
      </c>
      <c r="P152" s="1" t="n">
        <v>12.63</v>
      </c>
      <c r="Q152" s="1" t="n">
        <v>59.8</v>
      </c>
    </row>
    <row r="153" customFormat="false" ht="15.75" hidden="false" customHeight="true" outlineLevel="0" collapsed="false">
      <c r="A153" s="1" t="s">
        <v>271</v>
      </c>
      <c r="B153" s="1" t="n">
        <v>152</v>
      </c>
      <c r="C153" s="1" t="n">
        <v>2.27</v>
      </c>
      <c r="D153" s="1" t="n">
        <v>0.08</v>
      </c>
      <c r="E153" s="1" t="n">
        <v>64.17</v>
      </c>
      <c r="F153" s="1" t="n">
        <v>0.8</v>
      </c>
      <c r="G153" s="1" t="n">
        <v>81</v>
      </c>
      <c r="J153" s="1" t="s">
        <v>223</v>
      </c>
      <c r="K153" s="1" t="s">
        <v>506</v>
      </c>
      <c r="L153" s="1" t="n">
        <v>2.02</v>
      </c>
      <c r="M153" s="1" t="n">
        <v>0.36</v>
      </c>
      <c r="N153" s="1" t="n">
        <v>11.35</v>
      </c>
      <c r="O153" s="1" t="n">
        <v>6.58</v>
      </c>
      <c r="P153" s="1" t="n">
        <v>9.49</v>
      </c>
      <c r="Q153" s="1" t="n">
        <v>23.44</v>
      </c>
    </row>
    <row r="154" customFormat="false" ht="15.75" hidden="false" customHeight="true" outlineLevel="0" collapsed="false">
      <c r="A154" s="1" t="s">
        <v>263</v>
      </c>
      <c r="B154" s="1" t="n">
        <v>153</v>
      </c>
      <c r="C154" s="1" t="n">
        <v>2.24</v>
      </c>
      <c r="D154" s="1" t="n">
        <v>0.3</v>
      </c>
      <c r="E154" s="1" t="n">
        <v>16.74</v>
      </c>
      <c r="F154" s="1" t="n">
        <v>0.41</v>
      </c>
      <c r="G154" s="1" t="n">
        <v>142</v>
      </c>
      <c r="J154" s="1" t="s">
        <v>255</v>
      </c>
      <c r="K154" s="1" t="s">
        <v>507</v>
      </c>
      <c r="L154" s="1" t="n">
        <v>2.01</v>
      </c>
      <c r="M154" s="1" t="n">
        <v>0.07</v>
      </c>
      <c r="N154" s="1" t="n">
        <v>57.5</v>
      </c>
      <c r="O154" s="1" t="n">
        <v>59.28</v>
      </c>
      <c r="P154" s="1" t="n">
        <v>63.22</v>
      </c>
      <c r="Q154" s="1" t="n">
        <v>50.74</v>
      </c>
    </row>
    <row r="155" customFormat="false" ht="15.75" hidden="false" customHeight="true" outlineLevel="0" collapsed="false">
      <c r="A155" s="1" t="s">
        <v>223</v>
      </c>
      <c r="B155" s="1" t="n">
        <v>154</v>
      </c>
      <c r="C155" s="1" t="n">
        <v>2.19</v>
      </c>
      <c r="D155" s="1" t="n">
        <v>0.34</v>
      </c>
      <c r="E155" s="1" t="n">
        <v>14.16</v>
      </c>
      <c r="F155" s="1" t="n">
        <v>6.21</v>
      </c>
      <c r="G155" s="1" t="n">
        <v>41</v>
      </c>
      <c r="J155" s="1" t="s">
        <v>14</v>
      </c>
      <c r="K155" s="1" t="s">
        <v>508</v>
      </c>
      <c r="L155" s="1" t="n">
        <v>2.01</v>
      </c>
      <c r="M155" s="1" t="n">
        <v>0.55</v>
      </c>
      <c r="N155" s="1" t="n">
        <v>7.38</v>
      </c>
      <c r="O155" s="1" t="n">
        <v>6.21</v>
      </c>
      <c r="P155" s="1" t="n">
        <v>3.34</v>
      </c>
      <c r="Q155" s="1" t="n">
        <v>19.35</v>
      </c>
    </row>
    <row r="156" customFormat="false" ht="15.75" hidden="false" customHeight="true" outlineLevel="0" collapsed="false">
      <c r="A156" s="1" t="s">
        <v>80</v>
      </c>
      <c r="B156" s="1" t="n">
        <v>155</v>
      </c>
      <c r="C156" s="1" t="n">
        <v>2.18</v>
      </c>
      <c r="D156" s="1" t="n">
        <v>0.25</v>
      </c>
      <c r="E156" s="1" t="n">
        <v>19</v>
      </c>
      <c r="F156" s="1" t="n">
        <v>0.44</v>
      </c>
      <c r="G156" s="1" t="n">
        <v>135</v>
      </c>
      <c r="J156" s="1" t="s">
        <v>147</v>
      </c>
      <c r="K156" s="1" t="s">
        <v>509</v>
      </c>
      <c r="L156" s="1" t="n">
        <v>1.95</v>
      </c>
      <c r="M156" s="1" t="n">
        <v>0.21</v>
      </c>
      <c r="N156" s="1" t="n">
        <v>18.2</v>
      </c>
      <c r="O156" s="1" t="n">
        <v>11.67</v>
      </c>
      <c r="P156" s="1" t="n">
        <v>11.19</v>
      </c>
      <c r="Q156" s="1" t="n">
        <v>46.17</v>
      </c>
    </row>
    <row r="157" customFormat="false" ht="15.75" hidden="false" customHeight="true" outlineLevel="0" collapsed="false">
      <c r="A157" s="1" t="s">
        <v>209</v>
      </c>
      <c r="B157" s="1" t="n">
        <v>156</v>
      </c>
      <c r="C157" s="1" t="n">
        <v>2.16</v>
      </c>
      <c r="D157" s="1" t="n">
        <v>0.07</v>
      </c>
      <c r="E157" s="1" t="n">
        <v>66.63</v>
      </c>
      <c r="F157" s="1" t="n">
        <v>0.82</v>
      </c>
      <c r="G157" s="1" t="n">
        <v>77</v>
      </c>
      <c r="J157" s="1" t="s">
        <v>80</v>
      </c>
      <c r="K157" s="1" t="s">
        <v>510</v>
      </c>
      <c r="L157" s="1" t="n">
        <v>1.94</v>
      </c>
      <c r="M157" s="1" t="n">
        <v>0.25</v>
      </c>
      <c r="N157" s="1" t="n">
        <v>14.99</v>
      </c>
      <c r="O157" s="1" t="n">
        <v>19.15</v>
      </c>
      <c r="P157" s="1" t="n">
        <v>10.14</v>
      </c>
      <c r="Q157" s="1" t="n">
        <v>17.33</v>
      </c>
    </row>
    <row r="158" customFormat="false" ht="15.75" hidden="false" customHeight="true" outlineLevel="0" collapsed="false">
      <c r="A158" s="1" t="s">
        <v>135</v>
      </c>
      <c r="B158" s="1" t="n">
        <v>157</v>
      </c>
      <c r="C158" s="1" t="n">
        <v>2.07</v>
      </c>
      <c r="D158" s="1" t="n">
        <v>0.99</v>
      </c>
      <c r="E158" s="1" t="n">
        <v>4.31</v>
      </c>
      <c r="F158" s="1" t="n">
        <v>0.21</v>
      </c>
      <c r="G158" s="1" t="n">
        <v>189</v>
      </c>
      <c r="J158" s="1" t="s">
        <v>224</v>
      </c>
      <c r="K158" s="1" t="s">
        <v>511</v>
      </c>
      <c r="L158" s="1" t="n">
        <v>1.93</v>
      </c>
      <c r="M158" s="1" t="n">
        <v>0.14</v>
      </c>
      <c r="N158" s="1" t="n">
        <v>26.7</v>
      </c>
      <c r="O158" s="1" t="n">
        <v>29.72</v>
      </c>
      <c r="P158" s="1" t="n">
        <v>13.23</v>
      </c>
      <c r="Q158" s="1" t="n">
        <v>48.42</v>
      </c>
    </row>
    <row r="159" customFormat="false" ht="15.75" hidden="false" customHeight="true" outlineLevel="0" collapsed="false">
      <c r="A159" s="1" t="s">
        <v>255</v>
      </c>
      <c r="B159" s="1" t="n">
        <v>158</v>
      </c>
      <c r="C159" s="1" t="n">
        <v>2.06</v>
      </c>
      <c r="D159" s="1" t="n">
        <v>0.07</v>
      </c>
      <c r="E159" s="1" t="n">
        <v>60.58</v>
      </c>
      <c r="F159" s="1" t="n">
        <v>0.78</v>
      </c>
      <c r="G159" s="1" t="n">
        <v>84</v>
      </c>
      <c r="J159" s="1" t="s">
        <v>226</v>
      </c>
      <c r="K159" s="1" t="s">
        <v>512</v>
      </c>
      <c r="L159" s="1" t="n">
        <v>1.82</v>
      </c>
      <c r="M159" s="1" t="n">
        <v>0.31</v>
      </c>
      <c r="N159" s="1" t="n">
        <v>10.74</v>
      </c>
      <c r="O159" s="1" t="n">
        <v>11.37</v>
      </c>
      <c r="P159" s="1" t="n">
        <v>2.58</v>
      </c>
      <c r="Q159" s="1" t="n">
        <v>42.18</v>
      </c>
    </row>
    <row r="160" customFormat="false" ht="15.75" hidden="false" customHeight="true" outlineLevel="0" collapsed="false">
      <c r="A160" s="1" t="s">
        <v>42</v>
      </c>
      <c r="B160" s="1" t="n">
        <v>159</v>
      </c>
      <c r="C160" s="1" t="n">
        <v>1.99</v>
      </c>
      <c r="D160" s="1" t="n">
        <v>0.53</v>
      </c>
      <c r="E160" s="1" t="n">
        <v>7.44</v>
      </c>
      <c r="F160" s="1" t="n">
        <v>0.27</v>
      </c>
      <c r="G160" s="1" t="n">
        <v>177</v>
      </c>
      <c r="J160" s="1" t="s">
        <v>252</v>
      </c>
      <c r="K160" s="1" t="s">
        <v>513</v>
      </c>
      <c r="L160" s="1" t="n">
        <v>1.77</v>
      </c>
      <c r="M160" s="1" t="n">
        <v>0.09</v>
      </c>
      <c r="N160" s="1" t="n">
        <v>34.75</v>
      </c>
      <c r="O160" s="1" t="n">
        <v>53.24</v>
      </c>
      <c r="P160" s="1" t="n">
        <v>13.22</v>
      </c>
      <c r="Q160" s="1" t="n">
        <v>59.64</v>
      </c>
    </row>
    <row r="161" customFormat="false" ht="15.75" hidden="false" customHeight="true" outlineLevel="0" collapsed="false">
      <c r="A161" s="1" t="s">
        <v>67</v>
      </c>
      <c r="B161" s="1" t="n">
        <v>160</v>
      </c>
      <c r="C161" s="1" t="n">
        <v>1.92</v>
      </c>
      <c r="D161" s="1" t="n">
        <v>0.17</v>
      </c>
      <c r="E161" s="1" t="n">
        <v>21.65</v>
      </c>
      <c r="F161" s="1" t="n">
        <v>0.47</v>
      </c>
      <c r="G161" s="1" t="n">
        <v>127</v>
      </c>
      <c r="J161" s="1" t="s">
        <v>42</v>
      </c>
      <c r="K161" s="1" t="s">
        <v>514</v>
      </c>
      <c r="L161" s="1" t="n">
        <v>1.77</v>
      </c>
      <c r="M161" s="1" t="n">
        <v>0.43</v>
      </c>
      <c r="N161" s="1" t="n">
        <v>7.3</v>
      </c>
      <c r="O161" s="1" t="n">
        <v>5.57</v>
      </c>
      <c r="P161" s="1" t="n">
        <v>1.91</v>
      </c>
      <c r="Q161" s="1" t="n">
        <v>36.56</v>
      </c>
    </row>
    <row r="162" customFormat="false" ht="15.75" hidden="false" customHeight="true" outlineLevel="0" collapsed="false">
      <c r="A162" s="1" t="s">
        <v>224</v>
      </c>
      <c r="B162" s="1" t="n">
        <v>161</v>
      </c>
      <c r="C162" s="1" t="n">
        <v>1.9</v>
      </c>
      <c r="D162" s="1" t="n">
        <v>0.14</v>
      </c>
      <c r="E162" s="1" t="n">
        <v>25.8</v>
      </c>
      <c r="F162" s="1" t="n">
        <v>1.9</v>
      </c>
      <c r="G162" s="1" t="n">
        <v>59</v>
      </c>
      <c r="J162" s="1" t="s">
        <v>67</v>
      </c>
      <c r="K162" s="1" t="s">
        <v>515</v>
      </c>
      <c r="L162" s="1" t="n">
        <v>1.68</v>
      </c>
      <c r="M162" s="1" t="n">
        <v>0.17</v>
      </c>
      <c r="N162" s="1" t="n">
        <v>16.62</v>
      </c>
      <c r="O162" s="1" t="n">
        <v>10.97</v>
      </c>
      <c r="P162" s="1" t="n">
        <v>9.65</v>
      </c>
      <c r="Q162" s="1" t="n">
        <v>43.35</v>
      </c>
    </row>
    <row r="163" customFormat="false" ht="15.75" hidden="false" customHeight="true" outlineLevel="0" collapsed="false">
      <c r="A163" s="1" t="s">
        <v>154</v>
      </c>
      <c r="B163" s="1" t="n">
        <v>162</v>
      </c>
      <c r="C163" s="1" t="n">
        <v>1.89</v>
      </c>
      <c r="D163" s="1" t="n">
        <v>0.14</v>
      </c>
      <c r="E163" s="1" t="n">
        <v>25.44</v>
      </c>
      <c r="F163" s="1" t="n">
        <v>0.5</v>
      </c>
      <c r="G163" s="1" t="n">
        <v>116</v>
      </c>
      <c r="J163" s="1" t="s">
        <v>154</v>
      </c>
      <c r="K163" s="1" t="s">
        <v>516</v>
      </c>
      <c r="L163" s="1" t="n">
        <v>1.65</v>
      </c>
      <c r="M163" s="1" t="n">
        <v>0.14</v>
      </c>
      <c r="N163" s="1" t="n">
        <v>19.52</v>
      </c>
      <c r="O163" s="1" t="n">
        <v>12.13</v>
      </c>
      <c r="P163" s="1" t="n">
        <v>12.41</v>
      </c>
      <c r="Q163" s="1" t="n">
        <v>49.43</v>
      </c>
    </row>
    <row r="164" customFormat="false" ht="15.75" hidden="false" customHeight="true" outlineLevel="0" collapsed="false">
      <c r="A164" s="1" t="s">
        <v>123</v>
      </c>
      <c r="B164" s="1" t="n">
        <v>162</v>
      </c>
      <c r="C164" s="1" t="n">
        <v>1.89</v>
      </c>
      <c r="D164" s="1" t="n">
        <v>0.51</v>
      </c>
      <c r="E164" s="1" t="n">
        <v>6.97</v>
      </c>
      <c r="F164" s="1" t="n">
        <v>3.84</v>
      </c>
      <c r="G164" s="1" t="n">
        <v>49</v>
      </c>
      <c r="J164" s="1" t="s">
        <v>285</v>
      </c>
      <c r="K164" s="1" t="s">
        <v>517</v>
      </c>
      <c r="L164" s="1" t="n">
        <v>1.58</v>
      </c>
      <c r="M164" s="1" t="n">
        <v>0.07</v>
      </c>
      <c r="N164" s="1" t="n">
        <v>35.75</v>
      </c>
      <c r="O164" s="1" t="n">
        <v>56.51</v>
      </c>
      <c r="P164" s="1" t="n">
        <v>13.54</v>
      </c>
      <c r="Q164" s="1" t="n">
        <v>59.73</v>
      </c>
    </row>
    <row r="165" customFormat="false" ht="15.75" hidden="false" customHeight="true" outlineLevel="0" collapsed="false">
      <c r="A165" s="1" t="s">
        <v>147</v>
      </c>
      <c r="B165" s="1" t="n">
        <v>164</v>
      </c>
      <c r="C165" s="1" t="n">
        <v>1.68</v>
      </c>
      <c r="D165" s="1" t="n">
        <v>0.15</v>
      </c>
      <c r="E165" s="1" t="n">
        <v>18.78</v>
      </c>
      <c r="F165" s="1" t="n">
        <v>0.43</v>
      </c>
      <c r="G165" s="1" t="n">
        <v>137</v>
      </c>
      <c r="J165" s="1" t="s">
        <v>32</v>
      </c>
      <c r="K165" s="1" t="s">
        <v>518</v>
      </c>
      <c r="L165" s="1" t="n">
        <v>1.54</v>
      </c>
      <c r="M165" s="1" t="n">
        <v>0.49</v>
      </c>
      <c r="N165" s="1" t="n">
        <v>4.84</v>
      </c>
      <c r="O165" s="1" t="n">
        <v>5.41</v>
      </c>
      <c r="P165" s="1" t="n">
        <v>0.83</v>
      </c>
      <c r="Q165" s="1" t="n">
        <v>25.26</v>
      </c>
    </row>
    <row r="166" customFormat="false" ht="15.75" hidden="false" customHeight="true" outlineLevel="0" collapsed="false">
      <c r="A166" s="1" t="s">
        <v>273</v>
      </c>
      <c r="B166" s="1" t="n">
        <v>165</v>
      </c>
      <c r="C166" s="1" t="n">
        <v>1.65</v>
      </c>
      <c r="D166" s="1" t="n">
        <v>0.35</v>
      </c>
      <c r="E166" s="1" t="n">
        <v>7.77</v>
      </c>
      <c r="F166" s="1" t="n">
        <v>0.28</v>
      </c>
      <c r="G166" s="1" t="n">
        <v>175</v>
      </c>
      <c r="J166" s="1" t="s">
        <v>179</v>
      </c>
      <c r="K166" s="1" t="s">
        <v>519</v>
      </c>
      <c r="L166" s="1" t="n">
        <v>1.53</v>
      </c>
      <c r="M166" s="1" t="n">
        <v>0.15</v>
      </c>
      <c r="N166" s="1" t="n">
        <v>15.54</v>
      </c>
      <c r="O166" s="1" t="n">
        <v>9.26</v>
      </c>
      <c r="P166" s="1" t="n">
        <v>10.6</v>
      </c>
      <c r="Q166" s="1" t="n">
        <v>38.24</v>
      </c>
    </row>
    <row r="167" customFormat="false" ht="15.75" hidden="false" customHeight="true" outlineLevel="0" collapsed="false">
      <c r="A167" s="1" t="s">
        <v>32</v>
      </c>
      <c r="B167" s="1" t="n">
        <v>166</v>
      </c>
      <c r="C167" s="1" t="n">
        <v>1.59</v>
      </c>
      <c r="D167" s="1" t="n">
        <v>0.51</v>
      </c>
      <c r="E167" s="1" t="n">
        <v>4.94</v>
      </c>
      <c r="F167" s="1" t="n">
        <v>0.22</v>
      </c>
      <c r="G167" s="1" t="n">
        <v>187</v>
      </c>
      <c r="J167" s="1" t="s">
        <v>89</v>
      </c>
      <c r="K167" s="1" t="s">
        <v>520</v>
      </c>
      <c r="L167" s="1" t="n">
        <v>1.52</v>
      </c>
      <c r="M167" s="1" t="n">
        <v>0.18</v>
      </c>
      <c r="N167" s="1" t="n">
        <v>12.89</v>
      </c>
      <c r="O167" s="1" t="n">
        <v>15.43</v>
      </c>
      <c r="P167" s="1" t="n">
        <v>10.84</v>
      </c>
      <c r="Q167" s="1" t="n">
        <v>12.8</v>
      </c>
    </row>
    <row r="168" customFormat="false" ht="15.75" hidden="false" customHeight="true" outlineLevel="0" collapsed="false">
      <c r="A168" s="1" t="s">
        <v>89</v>
      </c>
      <c r="B168" s="1" t="n">
        <v>167</v>
      </c>
      <c r="C168" s="1" t="n">
        <v>1.55</v>
      </c>
      <c r="D168" s="1" t="n">
        <v>0.17</v>
      </c>
      <c r="E168" s="1" t="n">
        <v>14.21</v>
      </c>
      <c r="F168" s="1" t="n">
        <v>0.38</v>
      </c>
      <c r="G168" s="1" t="n">
        <v>151</v>
      </c>
      <c r="J168" s="1" t="s">
        <v>156</v>
      </c>
      <c r="K168" s="1" t="s">
        <v>521</v>
      </c>
      <c r="L168" s="1" t="n">
        <v>1.34</v>
      </c>
      <c r="M168" s="1" t="n">
        <v>0.09</v>
      </c>
      <c r="N168" s="1" t="n">
        <v>19.93</v>
      </c>
      <c r="O168" s="1" t="n">
        <v>15.79</v>
      </c>
      <c r="P168" s="1" t="n">
        <v>10.11</v>
      </c>
      <c r="Q168" s="1" t="n">
        <v>49.62</v>
      </c>
    </row>
    <row r="169" customFormat="false" ht="15.75" hidden="false" customHeight="true" outlineLevel="0" collapsed="false">
      <c r="A169" s="1" t="s">
        <v>142</v>
      </c>
      <c r="B169" s="1" t="n">
        <v>168</v>
      </c>
      <c r="C169" s="1" t="n">
        <v>1.52</v>
      </c>
      <c r="D169" s="1" t="n">
        <v>0.12</v>
      </c>
      <c r="E169" s="1" t="n">
        <v>19.2</v>
      </c>
      <c r="F169" s="1" t="n">
        <v>0.44</v>
      </c>
      <c r="G169" s="1" t="n">
        <v>135</v>
      </c>
      <c r="J169" s="1" t="s">
        <v>235</v>
      </c>
      <c r="K169" s="1" t="s">
        <v>522</v>
      </c>
      <c r="L169" s="1" t="n">
        <v>1.33</v>
      </c>
      <c r="M169" s="1" t="n">
        <v>0.07</v>
      </c>
      <c r="N169" s="1" t="n">
        <v>25.38</v>
      </c>
      <c r="O169" s="1" t="n">
        <v>18.32</v>
      </c>
      <c r="P169" s="1" t="n">
        <v>14.07</v>
      </c>
      <c r="Q169" s="1" t="n">
        <v>63.42</v>
      </c>
    </row>
    <row r="170" customFormat="false" ht="15.75" hidden="false" customHeight="true" outlineLevel="0" collapsed="false">
      <c r="A170" s="1" t="s">
        <v>129</v>
      </c>
      <c r="B170" s="1" t="n">
        <v>169</v>
      </c>
      <c r="C170" s="1" t="n">
        <v>1.51</v>
      </c>
      <c r="D170" s="1" t="n">
        <v>0.23</v>
      </c>
      <c r="E170" s="1" t="n">
        <v>9.86</v>
      </c>
      <c r="F170" s="1" t="n">
        <v>0.31</v>
      </c>
      <c r="G170" s="1" t="n">
        <v>167</v>
      </c>
      <c r="J170" s="1" t="s">
        <v>79</v>
      </c>
      <c r="K170" s="1" t="s">
        <v>523</v>
      </c>
      <c r="L170" s="1" t="n">
        <v>1.29</v>
      </c>
      <c r="M170" s="1" t="n">
        <v>0.1</v>
      </c>
      <c r="N170" s="1" t="n">
        <v>16.76</v>
      </c>
      <c r="O170" s="1" t="n">
        <v>9.78</v>
      </c>
      <c r="P170" s="1" t="n">
        <v>10.06</v>
      </c>
      <c r="Q170" s="1" t="n">
        <v>47.84</v>
      </c>
    </row>
    <row r="171" customFormat="false" ht="15.75" hidden="false" customHeight="true" outlineLevel="0" collapsed="false">
      <c r="A171" s="1" t="s">
        <v>156</v>
      </c>
      <c r="B171" s="1" t="n">
        <v>170</v>
      </c>
      <c r="C171" s="1" t="n">
        <v>1.47</v>
      </c>
      <c r="D171" s="1" t="n">
        <v>0.09</v>
      </c>
      <c r="E171" s="1" t="n">
        <v>23.87</v>
      </c>
      <c r="F171" s="1" t="n">
        <v>0.49</v>
      </c>
      <c r="G171" s="1" t="n">
        <v>121</v>
      </c>
      <c r="J171" s="1" t="s">
        <v>74</v>
      </c>
      <c r="K171" s="1" t="s">
        <v>524</v>
      </c>
      <c r="L171" s="1" t="n">
        <v>1.29</v>
      </c>
      <c r="M171" s="1" t="n">
        <v>0.1</v>
      </c>
      <c r="N171" s="1" t="n">
        <v>16.52</v>
      </c>
      <c r="O171" s="1" t="n">
        <v>9.48</v>
      </c>
      <c r="P171" s="1" t="n">
        <v>9.97</v>
      </c>
      <c r="Q171" s="1" t="n">
        <v>47.73</v>
      </c>
    </row>
    <row r="172" customFormat="false" ht="15.75" hidden="false" customHeight="true" outlineLevel="0" collapsed="false">
      <c r="A172" s="1" t="s">
        <v>179</v>
      </c>
      <c r="B172" s="1" t="n">
        <v>171</v>
      </c>
      <c r="C172" s="1" t="n">
        <v>1.42</v>
      </c>
      <c r="D172" s="1" t="n">
        <v>0.14</v>
      </c>
      <c r="E172" s="1" t="n">
        <v>14.34</v>
      </c>
      <c r="F172" s="1" t="n">
        <v>1.47</v>
      </c>
      <c r="G172" s="1" t="n">
        <v>64</v>
      </c>
      <c r="J172" s="1" t="s">
        <v>254</v>
      </c>
      <c r="K172" s="1" t="s">
        <v>525</v>
      </c>
      <c r="L172" s="1" t="n">
        <v>1.29</v>
      </c>
      <c r="M172" s="1" t="n">
        <v>0.33</v>
      </c>
      <c r="N172" s="1" t="n">
        <v>5.04</v>
      </c>
      <c r="O172" s="1" t="n">
        <v>7.71</v>
      </c>
      <c r="P172" s="1" t="n">
        <v>2.23</v>
      </c>
      <c r="Q172" s="1" t="n">
        <v>7.46</v>
      </c>
    </row>
    <row r="173" customFormat="false" ht="15.75" hidden="false" customHeight="true" outlineLevel="0" collapsed="false">
      <c r="A173" s="1" t="s">
        <v>28</v>
      </c>
      <c r="B173" s="1" t="n">
        <v>172</v>
      </c>
      <c r="C173" s="1" t="n">
        <v>1.37</v>
      </c>
      <c r="D173" s="1" t="n">
        <v>0.16</v>
      </c>
      <c r="E173" s="1" t="n">
        <v>11.8</v>
      </c>
      <c r="F173" s="1" t="n">
        <v>0.34</v>
      </c>
      <c r="G173" s="1" t="n">
        <v>161</v>
      </c>
      <c r="J173" s="1" t="s">
        <v>118</v>
      </c>
      <c r="K173" s="1" t="s">
        <v>526</v>
      </c>
      <c r="L173" s="1" t="n">
        <v>1.25</v>
      </c>
      <c r="M173" s="1" t="n">
        <v>0.17</v>
      </c>
      <c r="N173" s="1" t="n">
        <v>9.14</v>
      </c>
      <c r="O173" s="1" t="n">
        <v>9.11</v>
      </c>
      <c r="P173" s="1" t="n">
        <v>3.08</v>
      </c>
      <c r="Q173" s="1" t="n">
        <v>27.21</v>
      </c>
    </row>
    <row r="174" customFormat="false" ht="15.75" hidden="false" customHeight="true" outlineLevel="0" collapsed="false">
      <c r="A174" s="1" t="s">
        <v>79</v>
      </c>
      <c r="B174" s="1" t="n">
        <v>172</v>
      </c>
      <c r="C174" s="1" t="n">
        <v>1.37</v>
      </c>
      <c r="D174" s="1" t="n">
        <v>0.1</v>
      </c>
      <c r="E174" s="1" t="n">
        <v>18.65</v>
      </c>
      <c r="F174" s="1" t="n">
        <v>0.43</v>
      </c>
      <c r="G174" s="1" t="n">
        <v>137</v>
      </c>
      <c r="J174" s="1" t="s">
        <v>198</v>
      </c>
      <c r="K174" s="1" t="s">
        <v>527</v>
      </c>
      <c r="L174" s="1" t="n">
        <v>1.18</v>
      </c>
      <c r="M174" s="1" t="n">
        <v>0.1</v>
      </c>
      <c r="N174" s="1" t="n">
        <v>14.03</v>
      </c>
      <c r="O174" s="1" t="n">
        <v>8.02</v>
      </c>
      <c r="P174" s="1" t="n">
        <v>9.02</v>
      </c>
      <c r="Q174" s="1" t="n">
        <v>38.15</v>
      </c>
    </row>
    <row r="175" customFormat="false" ht="15.75" hidden="false" customHeight="true" outlineLevel="0" collapsed="false">
      <c r="A175" s="1" t="s">
        <v>118</v>
      </c>
      <c r="B175" s="1" t="n">
        <v>174</v>
      </c>
      <c r="C175" s="1" t="n">
        <v>1.29</v>
      </c>
      <c r="D175" s="1" t="n">
        <v>0.17</v>
      </c>
      <c r="E175" s="1" t="n">
        <v>9.72</v>
      </c>
      <c r="F175" s="1" t="n">
        <v>0.31</v>
      </c>
      <c r="G175" s="1" t="n">
        <v>167</v>
      </c>
      <c r="J175" s="1" t="s">
        <v>142</v>
      </c>
      <c r="K175" s="1" t="s">
        <v>528</v>
      </c>
      <c r="L175" s="1" t="n">
        <v>1.17</v>
      </c>
      <c r="M175" s="1" t="n">
        <v>0.07</v>
      </c>
      <c r="N175" s="1" t="n">
        <v>19.71</v>
      </c>
      <c r="O175" s="1" t="n">
        <v>14.92</v>
      </c>
      <c r="P175" s="1" t="n">
        <v>10.73</v>
      </c>
      <c r="Q175" s="1" t="n">
        <v>47.84</v>
      </c>
    </row>
    <row r="176" customFormat="false" ht="15.75" hidden="false" customHeight="true" outlineLevel="0" collapsed="false">
      <c r="A176" s="1" t="s">
        <v>47</v>
      </c>
      <c r="B176" s="1" t="n">
        <v>175</v>
      </c>
      <c r="C176" s="1" t="n">
        <v>1.23</v>
      </c>
      <c r="D176" s="1" t="n">
        <v>0.1</v>
      </c>
      <c r="E176" s="1" t="n">
        <v>15.24</v>
      </c>
      <c r="F176" s="1" t="n">
        <v>0.39</v>
      </c>
      <c r="G176" s="1" t="n">
        <v>148</v>
      </c>
      <c r="J176" s="1" t="s">
        <v>28</v>
      </c>
      <c r="K176" s="1" t="s">
        <v>529</v>
      </c>
      <c r="L176" s="1" t="n">
        <v>1.16</v>
      </c>
      <c r="M176" s="1" t="n">
        <v>0.17</v>
      </c>
      <c r="N176" s="1" t="n">
        <v>7.9</v>
      </c>
      <c r="O176" s="1" t="n">
        <v>4.59</v>
      </c>
      <c r="P176" s="1" t="n">
        <v>3.36</v>
      </c>
      <c r="Q176" s="1" t="n">
        <v>31.92</v>
      </c>
    </row>
    <row r="177" customFormat="false" ht="15.75" hidden="false" customHeight="true" outlineLevel="0" collapsed="false">
      <c r="A177" s="1" t="s">
        <v>235</v>
      </c>
      <c r="B177" s="1" t="n">
        <v>176</v>
      </c>
      <c r="C177" s="1" t="n">
        <v>1.22</v>
      </c>
      <c r="D177" s="1" t="n">
        <v>0.06</v>
      </c>
      <c r="E177" s="1" t="n">
        <v>24.67</v>
      </c>
      <c r="F177" s="1" t="n">
        <v>0.5</v>
      </c>
      <c r="G177" s="1" t="n">
        <v>116</v>
      </c>
      <c r="J177" s="1" t="s">
        <v>129</v>
      </c>
      <c r="K177" s="1" t="s">
        <v>530</v>
      </c>
      <c r="L177" s="1" t="n">
        <v>1.11</v>
      </c>
      <c r="M177" s="1" t="n">
        <v>0.11</v>
      </c>
      <c r="N177" s="1" t="n">
        <v>11.12</v>
      </c>
      <c r="O177" s="1" t="n">
        <v>9.52</v>
      </c>
      <c r="P177" s="1" t="n">
        <v>9.89</v>
      </c>
      <c r="Q177" s="1" t="n">
        <v>14.62</v>
      </c>
    </row>
    <row r="178" customFormat="false" ht="15.75" hidden="false" customHeight="true" outlineLevel="0" collapsed="false">
      <c r="A178" s="1" t="s">
        <v>74</v>
      </c>
      <c r="B178" s="1" t="n">
        <v>177</v>
      </c>
      <c r="C178" s="1" t="n">
        <v>1.19</v>
      </c>
      <c r="D178" s="1" t="n">
        <v>0.09</v>
      </c>
      <c r="E178" s="1" t="n">
        <v>15.74</v>
      </c>
      <c r="F178" s="1" t="n">
        <v>0.4</v>
      </c>
      <c r="G178" s="1" t="n">
        <v>145</v>
      </c>
      <c r="J178" s="1" t="s">
        <v>47</v>
      </c>
      <c r="K178" s="1" t="s">
        <v>531</v>
      </c>
      <c r="L178" s="1" t="n">
        <v>1.09</v>
      </c>
      <c r="M178" s="1" t="n">
        <v>0.1</v>
      </c>
      <c r="N178" s="1" t="n">
        <v>11.94</v>
      </c>
      <c r="O178" s="1" t="n">
        <v>6.13</v>
      </c>
      <c r="P178" s="1" t="n">
        <v>7.03</v>
      </c>
      <c r="Q178" s="1" t="n">
        <v>39.51</v>
      </c>
    </row>
    <row r="179" customFormat="false" ht="15.75" hidden="false" customHeight="true" outlineLevel="0" collapsed="false">
      <c r="A179" s="1" t="s">
        <v>12</v>
      </c>
      <c r="B179" s="1" t="n">
        <v>178</v>
      </c>
      <c r="C179" s="1" t="n">
        <v>1.15</v>
      </c>
      <c r="D179" s="1" t="n">
        <v>0.16</v>
      </c>
      <c r="E179" s="1" t="n">
        <v>8.29</v>
      </c>
      <c r="F179" s="1" t="n">
        <v>0.29</v>
      </c>
      <c r="G179" s="1" t="n">
        <v>174</v>
      </c>
      <c r="J179" s="1" t="s">
        <v>12</v>
      </c>
      <c r="K179" s="1" t="s">
        <v>532</v>
      </c>
      <c r="L179" s="1" t="n">
        <v>1.05</v>
      </c>
      <c r="M179" s="1" t="n">
        <v>0.16</v>
      </c>
      <c r="N179" s="1" t="n">
        <v>6.85</v>
      </c>
      <c r="O179" s="1" t="n">
        <v>4.73</v>
      </c>
      <c r="P179" s="1" t="n">
        <v>2.89</v>
      </c>
      <c r="Q179" s="1" t="n">
        <v>23.54</v>
      </c>
    </row>
    <row r="180" customFormat="false" ht="15.75" hidden="false" customHeight="true" outlineLevel="0" collapsed="false">
      <c r="A180" s="1" t="s">
        <v>198</v>
      </c>
      <c r="B180" s="1" t="n">
        <v>179</v>
      </c>
      <c r="C180" s="1" t="n">
        <v>1.14</v>
      </c>
      <c r="D180" s="1" t="n">
        <v>0.1</v>
      </c>
      <c r="E180" s="1" t="n">
        <v>12.91</v>
      </c>
      <c r="F180" s="1" t="n">
        <v>0.36</v>
      </c>
      <c r="G180" s="1" t="n">
        <v>158</v>
      </c>
      <c r="J180" s="1" t="s">
        <v>56</v>
      </c>
      <c r="K180" s="1" t="s">
        <v>533</v>
      </c>
      <c r="L180" s="1" t="n">
        <v>1.03</v>
      </c>
      <c r="M180" s="1" t="n">
        <v>0.1</v>
      </c>
      <c r="N180" s="1" t="n">
        <v>10.62</v>
      </c>
      <c r="O180" s="1" t="n">
        <v>7.18</v>
      </c>
      <c r="P180" s="1" t="n">
        <v>4.2</v>
      </c>
      <c r="Q180" s="1" t="n">
        <v>39.77</v>
      </c>
    </row>
    <row r="181" customFormat="false" ht="15.75" hidden="false" customHeight="true" outlineLevel="0" collapsed="false">
      <c r="A181" s="1" t="s">
        <v>18</v>
      </c>
      <c r="B181" s="1" t="n">
        <v>180</v>
      </c>
      <c r="C181" s="1" t="n">
        <v>1.13</v>
      </c>
      <c r="D181" s="1" t="n">
        <v>0.18</v>
      </c>
      <c r="E181" s="1" t="n">
        <v>7.05</v>
      </c>
      <c r="F181" s="1" t="n">
        <v>0.27</v>
      </c>
      <c r="G181" s="1" t="n">
        <v>177</v>
      </c>
      <c r="J181" s="1" t="s">
        <v>46</v>
      </c>
      <c r="K181" s="1" t="s">
        <v>534</v>
      </c>
      <c r="L181" s="1" t="n">
        <v>1.03</v>
      </c>
      <c r="M181" s="1" t="n">
        <v>0.15</v>
      </c>
      <c r="N181" s="1" t="n">
        <v>7.14</v>
      </c>
      <c r="O181" s="1" t="n">
        <v>5.62</v>
      </c>
      <c r="P181" s="1" t="n">
        <v>2.09</v>
      </c>
      <c r="Q181" s="1" t="n">
        <v>30.93</v>
      </c>
    </row>
    <row r="182" customFormat="false" ht="15.75" hidden="false" customHeight="true" outlineLevel="0" collapsed="false">
      <c r="A182" s="1" t="s">
        <v>56</v>
      </c>
      <c r="B182" s="1" t="n">
        <v>181</v>
      </c>
      <c r="C182" s="1" t="n">
        <v>1.03</v>
      </c>
      <c r="D182" s="1" t="n">
        <v>0.1</v>
      </c>
      <c r="E182" s="1" t="n">
        <v>10.57</v>
      </c>
      <c r="F182" s="1" t="n">
        <v>0.33</v>
      </c>
      <c r="G182" s="1" t="n">
        <v>164</v>
      </c>
      <c r="J182" s="1" t="s">
        <v>273</v>
      </c>
      <c r="K182" s="1" t="s">
        <v>535</v>
      </c>
      <c r="L182" s="1" t="n">
        <v>1.02</v>
      </c>
      <c r="M182" s="1" t="n">
        <v>0.11</v>
      </c>
      <c r="N182" s="1" t="n">
        <v>9.39</v>
      </c>
      <c r="O182" s="1" t="n">
        <v>8.48</v>
      </c>
      <c r="P182" s="1" t="n">
        <v>2.79</v>
      </c>
      <c r="Q182" s="1" t="n">
        <v>34.97</v>
      </c>
    </row>
    <row r="183" customFormat="false" ht="15.75" hidden="false" customHeight="true" outlineLevel="0" collapsed="false">
      <c r="A183" s="1" t="s">
        <v>46</v>
      </c>
      <c r="B183" s="1" t="n">
        <v>182</v>
      </c>
      <c r="C183" s="1" t="n">
        <v>0.98</v>
      </c>
      <c r="D183" s="1" t="n">
        <v>0.15</v>
      </c>
      <c r="E183" s="1" t="n">
        <v>6.36</v>
      </c>
      <c r="F183" s="1" t="n">
        <v>0.25</v>
      </c>
      <c r="G183" s="1" t="n">
        <v>180</v>
      </c>
      <c r="J183" s="1" t="s">
        <v>18</v>
      </c>
      <c r="K183" s="1" t="s">
        <v>536</v>
      </c>
      <c r="L183" s="1" t="n">
        <v>0.98</v>
      </c>
      <c r="M183" s="1" t="n">
        <v>0.18</v>
      </c>
      <c r="N183" s="1" t="n">
        <v>5.36</v>
      </c>
      <c r="O183" s="1" t="n">
        <v>3.51</v>
      </c>
      <c r="P183" s="1" t="n">
        <v>1.61</v>
      </c>
      <c r="Q183" s="1" t="n">
        <v>27.31</v>
      </c>
    </row>
    <row r="184" customFormat="false" ht="15.75" hidden="false" customHeight="true" outlineLevel="0" collapsed="false">
      <c r="A184" s="1" t="s">
        <v>19</v>
      </c>
      <c r="B184" s="1" t="n">
        <v>183</v>
      </c>
      <c r="C184" s="1" t="n">
        <v>0.94</v>
      </c>
      <c r="D184" s="1" t="n">
        <v>0.17</v>
      </c>
      <c r="E184" s="1" t="n">
        <v>5.2</v>
      </c>
      <c r="F184" s="1" t="n">
        <v>0.23</v>
      </c>
      <c r="G184" s="1" t="n">
        <v>185</v>
      </c>
      <c r="J184" s="1" t="s">
        <v>55</v>
      </c>
      <c r="K184" s="1" t="s">
        <v>537</v>
      </c>
      <c r="L184" s="1" t="n">
        <v>0.95</v>
      </c>
      <c r="M184" s="1" t="n">
        <v>0.11</v>
      </c>
      <c r="N184" s="1" t="n">
        <v>8.22</v>
      </c>
      <c r="O184" s="1" t="n">
        <v>5.46</v>
      </c>
      <c r="P184" s="1" t="n">
        <v>9.62</v>
      </c>
      <c r="Q184" s="1" t="n">
        <v>10.56</v>
      </c>
    </row>
    <row r="185" customFormat="false" ht="15.75" hidden="false" customHeight="true" outlineLevel="0" collapsed="false">
      <c r="A185" s="1" t="s">
        <v>39</v>
      </c>
      <c r="B185" s="1" t="n">
        <v>184</v>
      </c>
      <c r="C185" s="1" t="n">
        <v>0.87</v>
      </c>
      <c r="D185" s="1" t="n">
        <v>0.12</v>
      </c>
      <c r="E185" s="1" t="n">
        <v>6.3</v>
      </c>
      <c r="F185" s="1" t="n">
        <v>0.25</v>
      </c>
      <c r="G185" s="1" t="n">
        <v>180</v>
      </c>
      <c r="J185" s="1" t="s">
        <v>39</v>
      </c>
      <c r="K185" s="1" t="s">
        <v>538</v>
      </c>
      <c r="L185" s="1" t="n">
        <v>0.94</v>
      </c>
      <c r="M185" s="1" t="n">
        <v>0.14</v>
      </c>
      <c r="N185" s="1" t="n">
        <v>6.31</v>
      </c>
      <c r="O185" s="1" t="n">
        <v>5.64</v>
      </c>
      <c r="P185" s="1" t="n">
        <v>2.63</v>
      </c>
      <c r="Q185" s="1" t="n">
        <v>16.93</v>
      </c>
    </row>
    <row r="186" customFormat="false" ht="15.75" hidden="false" customHeight="true" outlineLevel="0" collapsed="false">
      <c r="A186" s="1" t="s">
        <v>283</v>
      </c>
      <c r="B186" s="1" t="n">
        <v>185</v>
      </c>
      <c r="C186" s="1" t="n">
        <v>0.85</v>
      </c>
      <c r="D186" s="1" t="n">
        <v>0.04</v>
      </c>
      <c r="E186" s="1" t="n">
        <v>18.1</v>
      </c>
      <c r="F186" s="1" t="n">
        <v>0.43</v>
      </c>
      <c r="G186" s="1" t="n">
        <v>137</v>
      </c>
      <c r="J186" s="1" t="s">
        <v>19</v>
      </c>
      <c r="K186" s="1" t="s">
        <v>539</v>
      </c>
      <c r="L186" s="1" t="n">
        <v>0.94</v>
      </c>
      <c r="M186" s="1" t="n">
        <v>0.15</v>
      </c>
      <c r="N186" s="1" t="n">
        <v>5.87</v>
      </c>
      <c r="O186" s="1" t="n">
        <v>4.09</v>
      </c>
      <c r="P186" s="1" t="n">
        <v>4.26</v>
      </c>
      <c r="Q186" s="1" t="n">
        <v>11.62</v>
      </c>
    </row>
    <row r="187" customFormat="false" ht="15.75" hidden="false" customHeight="true" outlineLevel="0" collapsed="false">
      <c r="A187" s="1" t="s">
        <v>55</v>
      </c>
      <c r="B187" s="1" t="n">
        <v>186</v>
      </c>
      <c r="C187" s="1" t="n">
        <v>0.82</v>
      </c>
      <c r="D187" s="1" t="n">
        <v>0.11</v>
      </c>
      <c r="E187" s="1" t="n">
        <v>6.15</v>
      </c>
      <c r="F187" s="1" t="n">
        <v>0.25</v>
      </c>
      <c r="G187" s="1" t="n">
        <v>180</v>
      </c>
      <c r="J187" s="1" t="s">
        <v>15</v>
      </c>
      <c r="K187" s="1" t="s">
        <v>540</v>
      </c>
      <c r="L187" s="1" t="n">
        <v>0.8</v>
      </c>
      <c r="M187" s="1" t="n">
        <v>0.15</v>
      </c>
      <c r="N187" s="1" t="n">
        <v>4.25</v>
      </c>
      <c r="O187" s="1" t="n">
        <v>3.83</v>
      </c>
      <c r="P187" s="1" t="n">
        <v>0.83</v>
      </c>
      <c r="Q187" s="1" t="n">
        <v>24.11</v>
      </c>
    </row>
    <row r="188" customFormat="false" ht="15.75" hidden="false" customHeight="true" outlineLevel="0" collapsed="false">
      <c r="A188" s="1" t="s">
        <v>78</v>
      </c>
      <c r="B188" s="1" t="n">
        <v>187</v>
      </c>
      <c r="C188" s="1" t="n">
        <v>0.74</v>
      </c>
      <c r="D188" s="1" t="n">
        <v>0.05</v>
      </c>
      <c r="E188" s="1" t="n">
        <v>10.99</v>
      </c>
      <c r="F188" s="1" t="n">
        <v>0.33</v>
      </c>
      <c r="G188" s="1" t="n">
        <v>164</v>
      </c>
      <c r="J188" s="1" t="s">
        <v>78</v>
      </c>
      <c r="K188" s="1" t="s">
        <v>541</v>
      </c>
      <c r="L188" s="1" t="n">
        <v>0.76</v>
      </c>
      <c r="M188" s="1" t="n">
        <v>0.05</v>
      </c>
      <c r="N188" s="1" t="n">
        <v>11.48</v>
      </c>
      <c r="O188" s="1" t="n">
        <v>7.74</v>
      </c>
      <c r="P188" s="1" t="n">
        <v>5.67</v>
      </c>
      <c r="Q188" s="1" t="n">
        <v>34.51</v>
      </c>
    </row>
    <row r="189" customFormat="false" ht="15.75" hidden="false" customHeight="true" outlineLevel="0" collapsed="false">
      <c r="A189" s="1" t="s">
        <v>15</v>
      </c>
      <c r="B189" s="1" t="n">
        <v>188</v>
      </c>
      <c r="C189" s="1" t="n">
        <v>0.72</v>
      </c>
      <c r="D189" s="1" t="n">
        <v>0.17</v>
      </c>
      <c r="E189" s="1" t="n">
        <v>3.01</v>
      </c>
      <c r="F189" s="1" t="n">
        <v>0.17</v>
      </c>
      <c r="G189" s="1" t="n">
        <v>192</v>
      </c>
      <c r="J189" s="1" t="s">
        <v>212</v>
      </c>
      <c r="K189" s="1" t="s">
        <v>542</v>
      </c>
      <c r="L189" s="1" t="n">
        <v>0.71</v>
      </c>
      <c r="M189" s="1" t="n">
        <v>0.09</v>
      </c>
      <c r="N189" s="1" t="n">
        <v>5.64</v>
      </c>
      <c r="O189" s="1" t="n">
        <v>6.5</v>
      </c>
      <c r="P189" s="1" t="n">
        <v>0.99</v>
      </c>
      <c r="Q189" s="1" t="n">
        <v>27.92</v>
      </c>
    </row>
    <row r="190" customFormat="false" ht="15.75" hidden="false" customHeight="true" outlineLevel="0" collapsed="false">
      <c r="A190" s="1" t="s">
        <v>212</v>
      </c>
      <c r="B190" s="1" t="n">
        <v>189</v>
      </c>
      <c r="C190" s="1" t="n">
        <v>0.67</v>
      </c>
      <c r="D190" s="1" t="n">
        <v>0.09</v>
      </c>
      <c r="E190" s="1" t="n">
        <v>4.97</v>
      </c>
      <c r="F190" s="1" t="n">
        <v>0.22</v>
      </c>
      <c r="G190" s="1" t="n">
        <v>187</v>
      </c>
      <c r="J190" s="1" t="s">
        <v>203</v>
      </c>
      <c r="K190" s="1" t="s">
        <v>543</v>
      </c>
      <c r="L190" s="1" t="n">
        <v>0.67</v>
      </c>
      <c r="M190" s="1" t="n">
        <v>0.02</v>
      </c>
      <c r="N190" s="1" t="n">
        <v>22.26</v>
      </c>
      <c r="O190" s="1" t="n">
        <v>16.56</v>
      </c>
      <c r="P190" s="1" t="n">
        <v>12.79</v>
      </c>
      <c r="Q190" s="1" t="n">
        <v>52.07</v>
      </c>
    </row>
    <row r="191" customFormat="false" ht="15.75" hidden="false" customHeight="true" outlineLevel="0" collapsed="false">
      <c r="A191" s="1" t="s">
        <v>13</v>
      </c>
      <c r="B191" s="1" t="n">
        <v>190</v>
      </c>
      <c r="C191" s="1" t="n">
        <v>0.45</v>
      </c>
      <c r="D191" s="1" t="n">
        <v>0.06</v>
      </c>
      <c r="E191" s="1" t="n">
        <v>3.35</v>
      </c>
      <c r="F191" s="1" t="n">
        <v>0.18</v>
      </c>
      <c r="G191" s="1" t="n">
        <v>191</v>
      </c>
      <c r="J191" s="1" t="s">
        <v>13</v>
      </c>
      <c r="K191" s="1" t="s">
        <v>544</v>
      </c>
      <c r="L191" s="1" t="n">
        <v>0.61</v>
      </c>
      <c r="M191" s="1" t="n">
        <v>0.06</v>
      </c>
      <c r="N191" s="1" t="n">
        <v>6.17</v>
      </c>
      <c r="O191" s="1" t="n">
        <v>4.16</v>
      </c>
      <c r="P191" s="1" t="n">
        <v>5.85</v>
      </c>
      <c r="Q191" s="1" t="n">
        <v>9.65</v>
      </c>
    </row>
    <row r="192" customFormat="false" ht="15.75" hidden="false" customHeight="true" outlineLevel="0" collapsed="false">
      <c r="A192" s="1" t="s">
        <v>173</v>
      </c>
      <c r="B192" s="1" t="n">
        <v>191</v>
      </c>
      <c r="C192" s="1" t="n">
        <v>0.33</v>
      </c>
      <c r="D192" s="1" t="n">
        <v>0.02</v>
      </c>
      <c r="E192" s="1" t="n">
        <v>5.58</v>
      </c>
      <c r="F192" s="1" t="n">
        <v>0.24</v>
      </c>
      <c r="G192" s="1" t="n">
        <v>184</v>
      </c>
      <c r="J192" s="1" t="s">
        <v>178</v>
      </c>
      <c r="K192" s="1" t="s">
        <v>545</v>
      </c>
      <c r="L192" s="1" t="n">
        <v>0.35</v>
      </c>
      <c r="M192" s="1" t="n">
        <v>0.03</v>
      </c>
      <c r="N192" s="1" t="n">
        <v>4.11</v>
      </c>
      <c r="O192" s="1" t="n">
        <v>2.74</v>
      </c>
      <c r="P192" s="1" t="n">
        <v>1.31</v>
      </c>
      <c r="Q192" s="1" t="n">
        <v>19.37</v>
      </c>
    </row>
    <row r="193" customFormat="false" ht="15.75" hidden="false" customHeight="true" outlineLevel="0" collapsed="false">
      <c r="A193" s="1" t="s">
        <v>178</v>
      </c>
      <c r="B193" s="1" t="n">
        <v>191</v>
      </c>
      <c r="C193" s="1" t="n">
        <v>0.33</v>
      </c>
      <c r="D193" s="1" t="n">
        <v>0.03</v>
      </c>
      <c r="E193" s="1" t="n">
        <v>3.6</v>
      </c>
      <c r="F193" s="1" t="n">
        <v>0.19</v>
      </c>
      <c r="G193" s="1" t="n">
        <v>190</v>
      </c>
      <c r="J193" s="1" t="s">
        <v>173</v>
      </c>
      <c r="K193" s="1" t="s">
        <v>546</v>
      </c>
      <c r="L193" s="1" t="n">
        <v>0.28</v>
      </c>
      <c r="M193" s="1" t="n">
        <v>0.02</v>
      </c>
      <c r="N193" s="1" t="n">
        <v>3.96</v>
      </c>
      <c r="O193" s="1" t="n">
        <v>2.63</v>
      </c>
      <c r="P193" s="1" t="n">
        <v>1.86</v>
      </c>
      <c r="Q193" s="1" t="n">
        <v>12.66</v>
      </c>
    </row>
    <row r="194" customFormat="false" ht="15.75" hidden="false" customHeight="true" outlineLevel="0" collapsed="false">
      <c r="A194" s="1" t="s">
        <v>174</v>
      </c>
      <c r="B194" s="1" t="n">
        <v>193</v>
      </c>
      <c r="C194" s="1" t="n">
        <v>0.21</v>
      </c>
      <c r="D194" s="1" t="n">
        <v>0.02</v>
      </c>
      <c r="E194" s="1" t="n">
        <v>2.28</v>
      </c>
      <c r="F194" s="1" t="n">
        <v>0.15</v>
      </c>
      <c r="G194" s="1" t="n">
        <v>193</v>
      </c>
      <c r="J194" s="1" t="s">
        <v>174</v>
      </c>
      <c r="K194" s="1" t="s">
        <v>547</v>
      </c>
      <c r="L194" s="1" t="n">
        <v>0.18</v>
      </c>
      <c r="M194" s="1" t="n">
        <v>0.02</v>
      </c>
      <c r="N194" s="1" t="n">
        <v>1.57</v>
      </c>
      <c r="O194" s="1" t="n">
        <v>1.68</v>
      </c>
      <c r="P194" s="1" t="n">
        <v>0.44</v>
      </c>
      <c r="Q194" s="1" t="n">
        <v>5.25</v>
      </c>
    </row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84375" defaultRowHeight="15" zeroHeight="false" outlineLevelRow="0" outlineLevelCol="0"/>
  <sheetData>
    <row r="1" customFormat="false" ht="15" hidden="false" customHeight="false" outlineLevel="0" collapsed="false">
      <c r="A1" s="6" t="s">
        <v>0</v>
      </c>
      <c r="B1" s="6" t="s">
        <v>548</v>
      </c>
      <c r="C1" s="6" t="s">
        <v>549</v>
      </c>
      <c r="D1" s="6" t="s">
        <v>550</v>
      </c>
      <c r="E1" s="7" t="s">
        <v>551</v>
      </c>
    </row>
    <row r="2" customFormat="false" ht="15" hidden="false" customHeight="false" outlineLevel="0" collapsed="false">
      <c r="A2" s="0" t="s">
        <v>174</v>
      </c>
      <c r="B2" s="0" t="n">
        <f aca="false">AVERAGE(C2:D2)</f>
        <v>29.859</v>
      </c>
      <c r="C2" s="0" t="n">
        <v>29.859</v>
      </c>
    </row>
    <row r="3" customFormat="false" ht="15" hidden="false" customHeight="false" outlineLevel="0" collapsed="false">
      <c r="A3" s="0" t="s">
        <v>26</v>
      </c>
      <c r="B3" s="0" t="n">
        <f aca="false">AVERAGE(C3:D3)</f>
        <v>29.811</v>
      </c>
      <c r="C3" s="0" t="n">
        <v>29.811</v>
      </c>
    </row>
    <row r="4" customFormat="false" ht="15" hidden="false" customHeight="false" outlineLevel="0" collapsed="false">
      <c r="A4" s="0" t="s">
        <v>40</v>
      </c>
      <c r="B4" s="0" t="n">
        <f aca="false">AVERAGE(C4:D4)</f>
        <v>29.482</v>
      </c>
      <c r="C4" s="0" t="n">
        <v>29.482</v>
      </c>
    </row>
    <row r="5" customFormat="false" ht="15" hidden="false" customHeight="false" outlineLevel="0" collapsed="false">
      <c r="A5" s="0" t="s">
        <v>121</v>
      </c>
      <c r="B5" s="0" t="n">
        <f aca="false">AVERAGE(C5:D5)</f>
        <v>28.572</v>
      </c>
      <c r="C5" s="0" t="n">
        <v>28.572</v>
      </c>
    </row>
    <row r="6" customFormat="false" ht="15" hidden="false" customHeight="false" outlineLevel="0" collapsed="false">
      <c r="A6" s="0" t="s">
        <v>178</v>
      </c>
      <c r="B6" s="0" t="n">
        <f aca="false">AVERAGE(C6:D6)</f>
        <v>28.519</v>
      </c>
      <c r="C6" s="0" t="n">
        <v>28.519</v>
      </c>
    </row>
    <row r="7" customFormat="false" ht="15" hidden="false" customHeight="false" outlineLevel="0" collapsed="false">
      <c r="A7" s="0" t="s">
        <v>38</v>
      </c>
      <c r="B7" s="0" t="n">
        <f aca="false">AVERAGE(C7:D7)</f>
        <v>28.35</v>
      </c>
      <c r="C7" s="0" t="n">
        <v>28.35</v>
      </c>
    </row>
    <row r="8" customFormat="false" ht="15" hidden="false" customHeight="false" outlineLevel="0" collapsed="false">
      <c r="A8" s="0" t="s">
        <v>34</v>
      </c>
      <c r="B8" s="0" t="n">
        <f aca="false">AVERAGE(C8:D8)</f>
        <v>28.253</v>
      </c>
      <c r="C8" s="0" t="n">
        <v>28.253</v>
      </c>
    </row>
    <row r="9" customFormat="false" ht="15" hidden="false" customHeight="false" outlineLevel="0" collapsed="false">
      <c r="A9" s="0" t="s">
        <v>183</v>
      </c>
      <c r="B9" s="0" t="n">
        <f aca="false">AVERAGE(C9:D9)</f>
        <v>28.201</v>
      </c>
      <c r="C9" s="0" t="n">
        <v>28.201</v>
      </c>
    </row>
    <row r="10" customFormat="false" ht="15" hidden="false" customHeight="false" outlineLevel="0" collapsed="false">
      <c r="A10" s="0" t="s">
        <v>41</v>
      </c>
      <c r="B10" s="0" t="n">
        <f aca="false">AVERAGE(C10:D10)</f>
        <v>27.982</v>
      </c>
      <c r="C10" s="0" t="n">
        <v>27.982</v>
      </c>
    </row>
    <row r="11" customFormat="false" ht="15" hidden="false" customHeight="false" outlineLevel="0" collapsed="false">
      <c r="A11" s="0" t="s">
        <v>173</v>
      </c>
      <c r="B11" s="0" t="n">
        <f aca="false">AVERAGE(C11:D11)</f>
        <v>27.89</v>
      </c>
      <c r="C11" s="0" t="n">
        <v>27.89</v>
      </c>
    </row>
    <row r="12" customFormat="false" ht="15" hidden="false" customHeight="false" outlineLevel="0" collapsed="false">
      <c r="A12" s="0" t="s">
        <v>114</v>
      </c>
      <c r="B12" s="0" t="n">
        <f aca="false">AVERAGE(C12:D12)</f>
        <v>27.86</v>
      </c>
      <c r="C12" s="0" t="n">
        <v>27.86</v>
      </c>
    </row>
    <row r="13" customFormat="false" ht="15" hidden="false" customHeight="false" outlineLevel="0" collapsed="false">
      <c r="A13" s="0" t="s">
        <v>15</v>
      </c>
      <c r="B13" s="0" t="n">
        <f aca="false">AVERAGE(C13:D13)</f>
        <v>27.825</v>
      </c>
      <c r="C13" s="0" t="n">
        <v>27.825</v>
      </c>
    </row>
    <row r="14" customFormat="false" ht="15" hidden="false" customHeight="false" outlineLevel="0" collapsed="false">
      <c r="A14" s="0" t="s">
        <v>20</v>
      </c>
      <c r="B14" s="0" t="n">
        <f aca="false">AVERAGE(C14:D14)</f>
        <v>27.677</v>
      </c>
      <c r="C14" s="0" t="n">
        <v>27.677</v>
      </c>
    </row>
    <row r="15" customFormat="false" ht="15" hidden="false" customHeight="false" outlineLevel="0" collapsed="false">
      <c r="A15" s="0" t="s">
        <v>36</v>
      </c>
      <c r="B15" s="0" t="n">
        <f aca="false">AVERAGE(C15:D15)</f>
        <v>27.581</v>
      </c>
      <c r="C15" s="0" t="n">
        <v>27.581</v>
      </c>
    </row>
    <row r="16" customFormat="false" ht="15" hidden="false" customHeight="false" outlineLevel="0" collapsed="false">
      <c r="A16" s="0" t="s">
        <v>46</v>
      </c>
      <c r="B16" s="0" t="n">
        <f aca="false">AVERAGE(C16:D16)</f>
        <v>27.533</v>
      </c>
      <c r="C16" s="0" t="n">
        <v>27.533</v>
      </c>
    </row>
    <row r="17" customFormat="false" ht="15" hidden="false" customHeight="false" outlineLevel="0" collapsed="false">
      <c r="A17" s="0" t="s">
        <v>12</v>
      </c>
      <c r="B17" s="0" t="n">
        <f aca="false">AVERAGE(C17:D17)</f>
        <v>27.468</v>
      </c>
      <c r="C17" s="0" t="n">
        <v>27.468</v>
      </c>
    </row>
    <row r="18" customFormat="false" ht="15" hidden="false" customHeight="false" outlineLevel="0" collapsed="false">
      <c r="A18" s="0" t="s">
        <v>43</v>
      </c>
      <c r="B18" s="0" t="n">
        <f aca="false">AVERAGE(C18:D18)</f>
        <v>27.372</v>
      </c>
      <c r="C18" s="0" t="n">
        <v>27.372</v>
      </c>
    </row>
    <row r="19" customFormat="false" ht="15" hidden="false" customHeight="false" outlineLevel="0" collapsed="false">
      <c r="A19" s="0" t="s">
        <v>212</v>
      </c>
      <c r="B19" s="0" t="n">
        <f aca="false">AVERAGE(C19:D19)</f>
        <v>27.219</v>
      </c>
      <c r="C19" s="0" t="n">
        <v>27.219</v>
      </c>
    </row>
    <row r="20" customFormat="false" ht="15" hidden="false" customHeight="false" outlineLevel="0" collapsed="false">
      <c r="A20" s="0" t="s">
        <v>31</v>
      </c>
      <c r="B20" s="0" t="n">
        <f aca="false">AVERAGE(C20:D20)</f>
        <v>27.137</v>
      </c>
      <c r="C20" s="0" t="n">
        <v>27.137</v>
      </c>
    </row>
    <row r="21" customFormat="false" ht="15" hidden="false" customHeight="false" outlineLevel="0" collapsed="false">
      <c r="A21" s="0" t="s">
        <v>54</v>
      </c>
      <c r="B21" s="0" t="n">
        <f aca="false">AVERAGE(C21:D21)</f>
        <v>27.02</v>
      </c>
      <c r="C21" s="0" t="n">
        <v>27.02</v>
      </c>
    </row>
    <row r="22" customFormat="false" ht="15" hidden="false" customHeight="false" outlineLevel="0" collapsed="false">
      <c r="A22" s="0" t="s">
        <v>115</v>
      </c>
      <c r="B22" s="0" t="n">
        <f aca="false">AVERAGE(C22:D22)</f>
        <v>26.759</v>
      </c>
      <c r="C22" s="0" t="n">
        <v>26.759</v>
      </c>
    </row>
    <row r="23" customFormat="false" ht="15" hidden="false" customHeight="false" outlineLevel="0" collapsed="false">
      <c r="A23" s="0" t="s">
        <v>29</v>
      </c>
      <c r="B23" s="0" t="n">
        <f aca="false">AVERAGE(C23:D23)</f>
        <v>26.737</v>
      </c>
      <c r="C23" s="0" t="n">
        <v>26.737</v>
      </c>
    </row>
    <row r="24" customFormat="false" ht="15" hidden="false" customHeight="false" outlineLevel="0" collapsed="false">
      <c r="A24" s="0" t="s">
        <v>124</v>
      </c>
      <c r="B24" s="0" t="n">
        <f aca="false">AVERAGE(C24:D24)</f>
        <v>26.616</v>
      </c>
      <c r="C24" s="0" t="n">
        <v>26.616</v>
      </c>
    </row>
    <row r="25" customFormat="false" ht="15" hidden="false" customHeight="false" outlineLevel="0" collapsed="false">
      <c r="A25" s="0" t="s">
        <v>32</v>
      </c>
      <c r="B25" s="0" t="n">
        <f aca="false">AVERAGE(C25:D25)</f>
        <v>26.546</v>
      </c>
      <c r="C25" s="0" t="n">
        <v>26.546</v>
      </c>
    </row>
    <row r="26" customFormat="false" ht="15" hidden="false" customHeight="false" outlineLevel="0" collapsed="false">
      <c r="A26" s="0" t="s">
        <v>16</v>
      </c>
      <c r="B26" s="0" t="n">
        <f aca="false">AVERAGE(C26:D26)</f>
        <v>26.522</v>
      </c>
      <c r="C26" s="0" t="n">
        <v>26.522</v>
      </c>
    </row>
    <row r="27" customFormat="false" ht="15" hidden="false" customHeight="false" outlineLevel="0" collapsed="false">
      <c r="A27" s="0" t="s">
        <v>63</v>
      </c>
      <c r="B27" s="0" t="n">
        <f aca="false">AVERAGE(C27:D27)</f>
        <v>26.443</v>
      </c>
      <c r="C27" s="0" t="n">
        <v>26.443</v>
      </c>
    </row>
    <row r="28" customFormat="false" ht="15" hidden="false" customHeight="false" outlineLevel="0" collapsed="false">
      <c r="A28" s="0" t="s">
        <v>22</v>
      </c>
      <c r="B28" s="0" t="n">
        <f aca="false">AVERAGE(C28:D28)</f>
        <v>26.441</v>
      </c>
      <c r="C28" s="0" t="n">
        <v>26.441</v>
      </c>
    </row>
    <row r="29" customFormat="false" ht="15" hidden="false" customHeight="false" outlineLevel="0" collapsed="false">
      <c r="A29" s="0" t="s">
        <v>30</v>
      </c>
      <c r="B29" s="0" t="n">
        <f aca="false">AVERAGE(C29:D29)</f>
        <v>26.429</v>
      </c>
      <c r="C29" s="0" t="n">
        <v>26.429</v>
      </c>
    </row>
    <row r="30" customFormat="false" ht="15" hidden="false" customHeight="false" outlineLevel="0" collapsed="false">
      <c r="A30" s="0" t="s">
        <v>208</v>
      </c>
      <c r="B30" s="0" t="n">
        <f aca="false">AVERAGE(C30:D30)</f>
        <v>26.429</v>
      </c>
      <c r="C30" s="0" t="n">
        <v>26.429</v>
      </c>
    </row>
    <row r="31" customFormat="false" ht="15" hidden="false" customHeight="false" outlineLevel="0" collapsed="false">
      <c r="A31" s="0" t="s">
        <v>122</v>
      </c>
      <c r="B31" s="0" t="n">
        <f aca="false">AVERAGE(C31:D31)</f>
        <v>26.425</v>
      </c>
      <c r="C31" s="0" t="n">
        <v>26.425</v>
      </c>
    </row>
    <row r="32" customFormat="false" ht="15" hidden="false" customHeight="false" outlineLevel="0" collapsed="false">
      <c r="A32" s="0" t="s">
        <v>24</v>
      </c>
      <c r="B32" s="0" t="n">
        <f aca="false">AVERAGE(C32:D32)</f>
        <v>26.357</v>
      </c>
      <c r="C32" s="0" t="n">
        <v>26.357</v>
      </c>
    </row>
    <row r="33" customFormat="false" ht="15" hidden="false" customHeight="false" outlineLevel="0" collapsed="false">
      <c r="A33" s="0" t="s">
        <v>70</v>
      </c>
      <c r="B33" s="0" t="n">
        <f aca="false">AVERAGE(C33:D33)</f>
        <v>26.283</v>
      </c>
      <c r="C33" s="0" t="n">
        <v>26.283</v>
      </c>
    </row>
    <row r="34" customFormat="false" ht="15" hidden="false" customHeight="false" outlineLevel="0" collapsed="false">
      <c r="A34" s="0" t="s">
        <v>28</v>
      </c>
      <c r="B34" s="0" t="n">
        <f aca="false">AVERAGE(C34:D34)</f>
        <v>26.2</v>
      </c>
      <c r="C34" s="0" t="n">
        <v>26.2</v>
      </c>
    </row>
    <row r="35" customFormat="false" ht="15" hidden="false" customHeight="false" outlineLevel="0" collapsed="false">
      <c r="A35" s="0" t="s">
        <v>35</v>
      </c>
      <c r="B35" s="0" t="n">
        <f aca="false">AVERAGE(C35:D35)</f>
        <v>26.177</v>
      </c>
      <c r="C35" s="0" t="n">
        <v>26.177</v>
      </c>
    </row>
    <row r="36" customFormat="false" ht="15" hidden="false" customHeight="false" outlineLevel="0" collapsed="false">
      <c r="A36" s="0" t="s">
        <v>13</v>
      </c>
      <c r="B36" s="0" t="n">
        <f aca="false">AVERAGE(C36:D36)</f>
        <v>26.17</v>
      </c>
      <c r="C36" s="0" t="n">
        <v>26.17</v>
      </c>
    </row>
    <row r="37" customFormat="false" ht="15" hidden="false" customHeight="false" outlineLevel="0" collapsed="false">
      <c r="A37" s="0" t="s">
        <v>552</v>
      </c>
      <c r="B37" s="0" t="n">
        <f aca="false">AVERAGE(C37:D37)</f>
        <v>26.091</v>
      </c>
      <c r="C37" s="0" t="n">
        <v>26.091</v>
      </c>
    </row>
    <row r="38" customFormat="false" ht="15" hidden="false" customHeight="false" outlineLevel="0" collapsed="false">
      <c r="A38" s="0" t="s">
        <v>59</v>
      </c>
      <c r="B38" s="0" t="n">
        <f aca="false">AVERAGE(C38:D38)</f>
        <v>26.011</v>
      </c>
      <c r="C38" s="0" t="n">
        <v>26.011</v>
      </c>
    </row>
    <row r="39" customFormat="false" ht="15" hidden="false" customHeight="false" outlineLevel="0" collapsed="false">
      <c r="A39" s="0" t="s">
        <v>49</v>
      </c>
      <c r="B39" s="0" t="n">
        <f aca="false">AVERAGE(C39:D39)</f>
        <v>25.986</v>
      </c>
      <c r="C39" s="0" t="n">
        <v>25.986</v>
      </c>
    </row>
    <row r="40" customFormat="false" ht="15" hidden="false" customHeight="false" outlineLevel="0" collapsed="false">
      <c r="A40" s="0" t="s">
        <v>14</v>
      </c>
      <c r="B40" s="0" t="n">
        <f aca="false">AVERAGE(C40:D40)</f>
        <v>25.948</v>
      </c>
      <c r="C40" s="0" t="n">
        <v>25.948</v>
      </c>
    </row>
    <row r="41" customFormat="false" ht="15" hidden="false" customHeight="false" outlineLevel="0" collapsed="false">
      <c r="A41" s="0" t="s">
        <v>81</v>
      </c>
      <c r="B41" s="0" t="n">
        <f aca="false">AVERAGE(C41:D41)</f>
        <v>25.931</v>
      </c>
      <c r="C41" s="0" t="n">
        <v>25.931</v>
      </c>
    </row>
    <row r="42" customFormat="false" ht="15" hidden="false" customHeight="false" outlineLevel="0" collapsed="false">
      <c r="A42" s="0" t="s">
        <v>25</v>
      </c>
      <c r="B42" s="0" t="n">
        <f aca="false">AVERAGE(C42:D42)</f>
        <v>25.805</v>
      </c>
      <c r="C42" s="0" t="n">
        <v>25.805</v>
      </c>
    </row>
    <row r="43" customFormat="false" ht="15" hidden="false" customHeight="false" outlineLevel="0" collapsed="false">
      <c r="A43" s="0" t="s">
        <v>21</v>
      </c>
      <c r="B43" s="0" t="n">
        <f aca="false">AVERAGE(C43:D43)</f>
        <v>25.753</v>
      </c>
      <c r="C43" s="0" t="n">
        <v>25.753</v>
      </c>
    </row>
    <row r="44" customFormat="false" ht="15" hidden="false" customHeight="false" outlineLevel="0" collapsed="false">
      <c r="A44" s="0" t="s">
        <v>18</v>
      </c>
      <c r="B44" s="0" t="n">
        <f aca="false">AVERAGE(C44:D44)</f>
        <v>25.735</v>
      </c>
      <c r="C44" s="0" t="n">
        <v>25.735</v>
      </c>
    </row>
    <row r="45" customFormat="false" ht="15" hidden="false" customHeight="false" outlineLevel="0" collapsed="false">
      <c r="A45" s="0" t="s">
        <v>23</v>
      </c>
      <c r="B45" s="0" t="n">
        <f aca="false">AVERAGE(C45:D45)</f>
        <v>25.596</v>
      </c>
      <c r="C45" s="0" t="n">
        <v>25.596</v>
      </c>
    </row>
    <row r="46" customFormat="false" ht="15" hidden="false" customHeight="false" outlineLevel="0" collapsed="false">
      <c r="A46" s="0" t="s">
        <v>33</v>
      </c>
      <c r="B46" s="0" t="n">
        <f aca="false">AVERAGE(C46:D46)</f>
        <v>25.574</v>
      </c>
      <c r="C46" s="0" t="n">
        <v>25.574</v>
      </c>
    </row>
    <row r="47" customFormat="false" ht="15" hidden="false" customHeight="false" outlineLevel="0" collapsed="false">
      <c r="A47" s="0" t="s">
        <v>86</v>
      </c>
      <c r="B47" s="0" t="n">
        <f aca="false">AVERAGE(C47:D47)</f>
        <v>25.413</v>
      </c>
      <c r="C47" s="0" t="n">
        <v>25.413</v>
      </c>
    </row>
    <row r="48" customFormat="false" ht="15" hidden="false" customHeight="false" outlineLevel="0" collapsed="false">
      <c r="A48" s="0" t="s">
        <v>42</v>
      </c>
      <c r="B48" s="0" t="n">
        <f aca="false">AVERAGE(C48:D48)</f>
        <v>25.402</v>
      </c>
      <c r="C48" s="0" t="n">
        <v>25.402</v>
      </c>
    </row>
    <row r="49" customFormat="false" ht="15" hidden="false" customHeight="false" outlineLevel="0" collapsed="false">
      <c r="A49" s="0" t="s">
        <v>60</v>
      </c>
      <c r="B49" s="0" t="n">
        <f aca="false">AVERAGE(C49:D49)</f>
        <v>25.387</v>
      </c>
      <c r="C49" s="0" t="n">
        <v>25.387</v>
      </c>
    </row>
    <row r="50" customFormat="false" ht="15" hidden="false" customHeight="false" outlineLevel="0" collapsed="false">
      <c r="A50" s="0" t="s">
        <v>17</v>
      </c>
      <c r="B50" s="0" t="n">
        <f aca="false">AVERAGE(C50:D50)</f>
        <v>25.365</v>
      </c>
      <c r="C50" s="0" t="n">
        <v>25.365</v>
      </c>
    </row>
    <row r="51" customFormat="false" ht="15" hidden="false" customHeight="false" outlineLevel="0" collapsed="false">
      <c r="A51" s="0" t="s">
        <v>45</v>
      </c>
      <c r="B51" s="0" t="n">
        <f aca="false">AVERAGE(C51:D51)</f>
        <v>25.234</v>
      </c>
      <c r="C51" s="0" t="n">
        <v>25.234</v>
      </c>
    </row>
    <row r="52" customFormat="false" ht="15" hidden="false" customHeight="false" outlineLevel="0" collapsed="false">
      <c r="A52" s="0" t="s">
        <v>19</v>
      </c>
      <c r="B52" s="0" t="n">
        <f aca="false">AVERAGE(C52:D52)</f>
        <v>25.209</v>
      </c>
      <c r="C52" s="0" t="n">
        <v>25.209</v>
      </c>
    </row>
    <row r="53" customFormat="false" ht="15" hidden="false" customHeight="false" outlineLevel="0" collapsed="false">
      <c r="A53" s="0" t="s">
        <v>51</v>
      </c>
      <c r="B53" s="0" t="n">
        <f aca="false">AVERAGE(C53:D53)</f>
        <v>24.765</v>
      </c>
      <c r="C53" s="0" t="n">
        <v>24.765</v>
      </c>
    </row>
    <row r="54" customFormat="false" ht="15" hidden="false" customHeight="false" outlineLevel="0" collapsed="false">
      <c r="A54" s="0" t="s">
        <v>85</v>
      </c>
      <c r="B54" s="0" t="n">
        <f aca="false">AVERAGE(C54:D54)</f>
        <v>24.692</v>
      </c>
      <c r="C54" s="0" t="n">
        <v>24.692</v>
      </c>
    </row>
    <row r="55" customFormat="false" ht="15" hidden="false" customHeight="false" outlineLevel="0" collapsed="false">
      <c r="A55" s="0" t="s">
        <v>47</v>
      </c>
      <c r="B55" s="0" t="n">
        <f aca="false">AVERAGE(C55:D55)</f>
        <v>24.623</v>
      </c>
      <c r="C55" s="0" t="n">
        <v>24.623</v>
      </c>
    </row>
    <row r="56" customFormat="false" ht="15" hidden="false" customHeight="false" outlineLevel="0" collapsed="false">
      <c r="A56" s="0" t="s">
        <v>37</v>
      </c>
      <c r="B56" s="0" t="n">
        <f aca="false">AVERAGE(C56:D56)</f>
        <v>24.615</v>
      </c>
      <c r="C56" s="0" t="n">
        <v>24.615</v>
      </c>
    </row>
    <row r="57" customFormat="false" ht="15" hidden="false" customHeight="false" outlineLevel="0" collapsed="false">
      <c r="A57" s="0" t="s">
        <v>129</v>
      </c>
      <c r="B57" s="0" t="n">
        <f aca="false">AVERAGE(C57:D57)</f>
        <v>24.58</v>
      </c>
      <c r="C57" s="0" t="n">
        <v>24.58</v>
      </c>
    </row>
    <row r="58" customFormat="false" ht="15" hidden="false" customHeight="false" outlineLevel="0" collapsed="false">
      <c r="A58" s="0" t="s">
        <v>39</v>
      </c>
      <c r="B58" s="0" t="n">
        <f aca="false">AVERAGE(C58:D58)</f>
        <v>24.508</v>
      </c>
      <c r="C58" s="0" t="n">
        <v>24.508</v>
      </c>
    </row>
    <row r="59" customFormat="false" ht="15" hidden="false" customHeight="false" outlineLevel="0" collapsed="false">
      <c r="A59" s="0" t="s">
        <v>202</v>
      </c>
      <c r="B59" s="0" t="n">
        <f aca="false">AVERAGE(C59:D59)</f>
        <v>24.471</v>
      </c>
      <c r="C59" s="0" t="n">
        <v>24.471</v>
      </c>
    </row>
    <row r="60" customFormat="false" ht="15" hidden="false" customHeight="false" outlineLevel="0" collapsed="false">
      <c r="A60" s="0" t="s">
        <v>553</v>
      </c>
      <c r="B60" s="0" t="n">
        <f aca="false">AVERAGE(C60:D60)</f>
        <v>24.442</v>
      </c>
      <c r="C60" s="0" t="n">
        <v>24.442</v>
      </c>
    </row>
    <row r="61" customFormat="false" ht="15" hidden="false" customHeight="false" outlineLevel="0" collapsed="false">
      <c r="A61" s="0" t="s">
        <v>222</v>
      </c>
      <c r="B61" s="0" t="n">
        <f aca="false">AVERAGE(C61:D61)</f>
        <v>24.37</v>
      </c>
      <c r="C61" s="0" t="n">
        <v>24.37</v>
      </c>
    </row>
    <row r="62" customFormat="false" ht="15" hidden="false" customHeight="false" outlineLevel="0" collapsed="false">
      <c r="A62" s="0" t="s">
        <v>88</v>
      </c>
      <c r="B62" s="0" t="n">
        <f aca="false">AVERAGE(C62:D62)</f>
        <v>24.106</v>
      </c>
      <c r="C62" s="0" t="n">
        <v>24.106</v>
      </c>
    </row>
    <row r="63" customFormat="false" ht="15" hidden="false" customHeight="false" outlineLevel="0" collapsed="false">
      <c r="A63" s="0" t="s">
        <v>76</v>
      </c>
      <c r="B63" s="0" t="n">
        <f aca="false">AVERAGE(C63:D63)</f>
        <v>24.079</v>
      </c>
      <c r="C63" s="0" t="n">
        <v>24.079</v>
      </c>
    </row>
    <row r="64" customFormat="false" ht="15" hidden="false" customHeight="false" outlineLevel="0" collapsed="false">
      <c r="A64" s="0" t="s">
        <v>82</v>
      </c>
      <c r="B64" s="0" t="n">
        <f aca="false">AVERAGE(C64:D64)</f>
        <v>24.07</v>
      </c>
      <c r="C64" s="0" t="n">
        <v>24.07</v>
      </c>
    </row>
    <row r="65" customFormat="false" ht="15" hidden="false" customHeight="false" outlineLevel="0" collapsed="false">
      <c r="A65" s="0" t="s">
        <v>56</v>
      </c>
      <c r="B65" s="0" t="n">
        <f aca="false">AVERAGE(C65:D65)</f>
        <v>24.035</v>
      </c>
      <c r="C65" s="0" t="n">
        <v>24.035</v>
      </c>
    </row>
    <row r="66" customFormat="false" ht="15" hidden="false" customHeight="false" outlineLevel="0" collapsed="false">
      <c r="A66" s="0" t="s">
        <v>116</v>
      </c>
      <c r="B66" s="0" t="n">
        <f aca="false">AVERAGE(C66:D66)</f>
        <v>23.896</v>
      </c>
      <c r="C66" s="0" t="n">
        <v>23.896</v>
      </c>
    </row>
    <row r="67" customFormat="false" ht="15" hidden="false" customHeight="false" outlineLevel="0" collapsed="false">
      <c r="A67" s="0" t="s">
        <v>44</v>
      </c>
      <c r="B67" s="0" t="n">
        <f aca="false">AVERAGE(C67:D67)</f>
        <v>23.887</v>
      </c>
      <c r="C67" s="0" t="n">
        <v>23.887</v>
      </c>
    </row>
    <row r="68" customFormat="false" ht="15" hidden="false" customHeight="false" outlineLevel="0" collapsed="false">
      <c r="A68" s="0" t="s">
        <v>205</v>
      </c>
      <c r="B68" s="0" t="n">
        <f aca="false">AVERAGE(C68:D68)</f>
        <v>23.866</v>
      </c>
      <c r="C68" s="0" t="n">
        <v>23.866</v>
      </c>
    </row>
    <row r="69" customFormat="false" ht="15" hidden="false" customHeight="false" outlineLevel="0" collapsed="false">
      <c r="A69" s="0" t="s">
        <v>50</v>
      </c>
      <c r="B69" s="0" t="n">
        <f aca="false">AVERAGE(C69:D69)</f>
        <v>23.837</v>
      </c>
      <c r="C69" s="0" t="n">
        <v>23.837</v>
      </c>
    </row>
    <row r="70" customFormat="false" ht="15" hidden="false" customHeight="false" outlineLevel="0" collapsed="false">
      <c r="A70" s="0" t="s">
        <v>71</v>
      </c>
      <c r="B70" s="0" t="n">
        <f aca="false">AVERAGE(C70:D70)</f>
        <v>23.827</v>
      </c>
      <c r="C70" s="0" t="n">
        <v>23.827</v>
      </c>
    </row>
    <row r="71" customFormat="false" ht="15" hidden="false" customHeight="false" outlineLevel="0" collapsed="false">
      <c r="A71" s="0" t="s">
        <v>52</v>
      </c>
      <c r="B71" s="0" t="n">
        <f aca="false">AVERAGE(C71:D71)</f>
        <v>23.824</v>
      </c>
      <c r="C71" s="0" t="n">
        <v>23.824</v>
      </c>
    </row>
    <row r="72" customFormat="false" ht="15" hidden="false" customHeight="false" outlineLevel="0" collapsed="false">
      <c r="A72" s="0" t="s">
        <v>61</v>
      </c>
      <c r="B72" s="0" t="n">
        <f aca="false">AVERAGE(C72:D72)</f>
        <v>23.782</v>
      </c>
      <c r="C72" s="0" t="n">
        <v>23.782</v>
      </c>
    </row>
    <row r="73" customFormat="false" ht="15" hidden="false" customHeight="false" outlineLevel="0" collapsed="false">
      <c r="A73" s="0" t="s">
        <v>97</v>
      </c>
      <c r="B73" s="0" t="n">
        <f aca="false">AVERAGE(C73:D73)</f>
        <v>23.713</v>
      </c>
      <c r="C73" s="0" t="n">
        <v>23.713</v>
      </c>
    </row>
    <row r="74" customFormat="false" ht="15" hidden="false" customHeight="false" outlineLevel="0" collapsed="false">
      <c r="A74" s="0" t="s">
        <v>27</v>
      </c>
      <c r="B74" s="0" t="n">
        <f aca="false">AVERAGE(C74:D74)</f>
        <v>23.704</v>
      </c>
      <c r="C74" s="0" t="n">
        <v>23.704</v>
      </c>
    </row>
    <row r="75" customFormat="false" ht="15" hidden="false" customHeight="false" outlineLevel="0" collapsed="false">
      <c r="A75" s="0" t="s">
        <v>57</v>
      </c>
      <c r="B75" s="0" t="n">
        <f aca="false">AVERAGE(C75:D75)</f>
        <v>23.677</v>
      </c>
      <c r="C75" s="0" t="n">
        <v>23.677</v>
      </c>
    </row>
    <row r="76" customFormat="false" ht="15" hidden="false" customHeight="false" outlineLevel="0" collapsed="false">
      <c r="A76" s="0" t="s">
        <v>230</v>
      </c>
      <c r="B76" s="0" t="n">
        <f aca="false">AVERAGE(C76:D76)</f>
        <v>23.651</v>
      </c>
      <c r="C76" s="0" t="n">
        <v>23.651</v>
      </c>
    </row>
    <row r="77" customFormat="false" ht="15" hidden="false" customHeight="false" outlineLevel="0" collapsed="false">
      <c r="A77" s="0" t="s">
        <v>226</v>
      </c>
      <c r="B77" s="0" t="n">
        <f aca="false">AVERAGE(C77:D77)</f>
        <v>23.598</v>
      </c>
      <c r="C77" s="0" t="n">
        <v>23.598</v>
      </c>
    </row>
    <row r="78" customFormat="false" ht="15" hidden="false" customHeight="false" outlineLevel="0" collapsed="false">
      <c r="A78" s="0" t="s">
        <v>113</v>
      </c>
      <c r="B78" s="0" t="n">
        <f aca="false">AVERAGE(C78:D78)</f>
        <v>23.589</v>
      </c>
      <c r="C78" s="0" t="n">
        <v>23.589</v>
      </c>
    </row>
    <row r="79" customFormat="false" ht="15" hidden="false" customHeight="false" outlineLevel="0" collapsed="false">
      <c r="A79" s="0" t="s">
        <v>69</v>
      </c>
      <c r="B79" s="0" t="n">
        <f aca="false">AVERAGE(C79:D79)</f>
        <v>23.512</v>
      </c>
      <c r="C79" s="0" t="n">
        <v>23.512</v>
      </c>
    </row>
    <row r="80" customFormat="false" ht="15" hidden="false" customHeight="false" outlineLevel="0" collapsed="false">
      <c r="A80" s="0" t="s">
        <v>296</v>
      </c>
      <c r="B80" s="0" t="n">
        <f aca="false">AVERAGE(C80:D80)</f>
        <v>23.494</v>
      </c>
      <c r="C80" s="0" t="n">
        <v>23.494</v>
      </c>
    </row>
    <row r="81" customFormat="false" ht="15" hidden="false" customHeight="false" outlineLevel="0" collapsed="false">
      <c r="A81" s="0" t="s">
        <v>239</v>
      </c>
      <c r="B81" s="0" t="n">
        <f aca="false">AVERAGE(C81:D81)</f>
        <v>23.451</v>
      </c>
      <c r="C81" s="0" t="n">
        <v>23.451</v>
      </c>
    </row>
    <row r="82" customFormat="false" ht="15" hidden="false" customHeight="false" outlineLevel="0" collapsed="false">
      <c r="A82" s="0" t="s">
        <v>75</v>
      </c>
      <c r="B82" s="0" t="n">
        <f aca="false">AVERAGE(C82:D82)</f>
        <v>23.417</v>
      </c>
      <c r="C82" s="0" t="n">
        <v>23.417</v>
      </c>
    </row>
    <row r="83" customFormat="false" ht="15" hidden="false" customHeight="false" outlineLevel="0" collapsed="false">
      <c r="A83" s="0" t="s">
        <v>132</v>
      </c>
      <c r="B83" s="0" t="n">
        <f aca="false">AVERAGE(C83:D83)</f>
        <v>23.357</v>
      </c>
      <c r="C83" s="0" t="n">
        <v>23.357</v>
      </c>
    </row>
    <row r="84" customFormat="false" ht="15" hidden="false" customHeight="false" outlineLevel="0" collapsed="false">
      <c r="A84" s="0" t="s">
        <v>91</v>
      </c>
      <c r="B84" s="0" t="n">
        <f aca="false">AVERAGE(C84:D84)</f>
        <v>23.262</v>
      </c>
      <c r="C84" s="0" t="n">
        <v>23.262</v>
      </c>
    </row>
    <row r="85" customFormat="false" ht="15" hidden="false" customHeight="false" outlineLevel="0" collapsed="false">
      <c r="A85" s="0" t="s">
        <v>109</v>
      </c>
      <c r="B85" s="0" t="n">
        <f aca="false">AVERAGE(C85:D85)</f>
        <v>23.221</v>
      </c>
      <c r="C85" s="0" t="n">
        <v>23.221</v>
      </c>
    </row>
    <row r="86" customFormat="false" ht="15" hidden="false" customHeight="false" outlineLevel="0" collapsed="false">
      <c r="A86" s="0" t="s">
        <v>87</v>
      </c>
      <c r="B86" s="0" t="n">
        <f aca="false">AVERAGE(C86:D86)</f>
        <v>23.212</v>
      </c>
      <c r="C86" s="0" t="n">
        <v>23.212</v>
      </c>
    </row>
    <row r="87" customFormat="false" ht="15" hidden="false" customHeight="false" outlineLevel="0" collapsed="false">
      <c r="A87" s="0" t="s">
        <v>64</v>
      </c>
      <c r="B87" s="0" t="n">
        <f aca="false">AVERAGE(C87:D87)</f>
        <v>23.062</v>
      </c>
      <c r="C87" s="0" t="n">
        <v>23.062</v>
      </c>
    </row>
    <row r="88" customFormat="false" ht="15" hidden="false" customHeight="false" outlineLevel="0" collapsed="false">
      <c r="A88" s="0" t="s">
        <v>62</v>
      </c>
      <c r="B88" s="0" t="n">
        <f aca="false">AVERAGE(C88:D88)</f>
        <v>23.023</v>
      </c>
      <c r="C88" s="0" t="n">
        <v>23.023</v>
      </c>
    </row>
    <row r="89" customFormat="false" ht="15" hidden="false" customHeight="false" outlineLevel="0" collapsed="false">
      <c r="A89" s="0" t="s">
        <v>55</v>
      </c>
      <c r="B89" s="0" t="n">
        <f aca="false">AVERAGE(C89:D89)</f>
        <v>22.977</v>
      </c>
      <c r="C89" s="0" t="n">
        <v>22.977</v>
      </c>
    </row>
    <row r="90" customFormat="false" ht="15" hidden="false" customHeight="false" outlineLevel="0" collapsed="false">
      <c r="A90" s="0" t="s">
        <v>66</v>
      </c>
      <c r="B90" s="0" t="n">
        <f aca="false">AVERAGE(C90:D90)</f>
        <v>22.947</v>
      </c>
      <c r="C90" s="0" t="n">
        <v>22.947</v>
      </c>
    </row>
    <row r="91" customFormat="false" ht="15" hidden="false" customHeight="false" outlineLevel="0" collapsed="false">
      <c r="A91" s="0" t="s">
        <v>106</v>
      </c>
      <c r="B91" s="0" t="n">
        <f aca="false">AVERAGE(C91:D91)</f>
        <v>22.889</v>
      </c>
      <c r="C91" s="0" t="n">
        <v>22.889</v>
      </c>
    </row>
    <row r="92" customFormat="false" ht="15" hidden="false" customHeight="false" outlineLevel="0" collapsed="false">
      <c r="A92" s="0" t="s">
        <v>554</v>
      </c>
      <c r="B92" s="0" t="n">
        <f aca="false">AVERAGE(C92:D92)</f>
        <v>22.883</v>
      </c>
      <c r="C92" s="0" t="n">
        <v>22.883</v>
      </c>
    </row>
    <row r="93" customFormat="false" ht="15" hidden="false" customHeight="false" outlineLevel="0" collapsed="false">
      <c r="A93" s="0" t="s">
        <v>90</v>
      </c>
      <c r="B93" s="0" t="n">
        <f aca="false">AVERAGE(C93:D93)</f>
        <v>22.85</v>
      </c>
      <c r="C93" s="0" t="n">
        <v>22.85</v>
      </c>
    </row>
    <row r="94" customFormat="false" ht="15" hidden="false" customHeight="false" outlineLevel="0" collapsed="false">
      <c r="A94" s="0" t="s">
        <v>67</v>
      </c>
      <c r="B94" s="0" t="n">
        <f aca="false">AVERAGE(C94:D94)</f>
        <v>22.828</v>
      </c>
      <c r="C94" s="0" t="n">
        <v>22.828</v>
      </c>
    </row>
    <row r="95" customFormat="false" ht="15" hidden="false" customHeight="false" outlineLevel="0" collapsed="false">
      <c r="A95" s="0" t="s">
        <v>68</v>
      </c>
      <c r="B95" s="0" t="n">
        <f aca="false">AVERAGE(C95:D95)</f>
        <v>22.759</v>
      </c>
      <c r="C95" s="0" t="n">
        <v>22.759</v>
      </c>
    </row>
    <row r="96" customFormat="false" ht="15" hidden="false" customHeight="false" outlineLevel="0" collapsed="false">
      <c r="A96" s="0" t="s">
        <v>190</v>
      </c>
      <c r="B96" s="0" t="n">
        <f aca="false">AVERAGE(C96:D96)</f>
        <v>22.694</v>
      </c>
      <c r="C96" s="0" t="n">
        <v>22.694</v>
      </c>
    </row>
    <row r="97" customFormat="false" ht="15" hidden="false" customHeight="false" outlineLevel="0" collapsed="false">
      <c r="A97" s="0" t="s">
        <v>72</v>
      </c>
      <c r="B97" s="0" t="n">
        <f aca="false">AVERAGE(C97:D97)</f>
        <v>22.691</v>
      </c>
      <c r="C97" s="0" t="n">
        <v>22.691</v>
      </c>
    </row>
    <row r="98" customFormat="false" ht="15" hidden="false" customHeight="false" outlineLevel="0" collapsed="false">
      <c r="A98" s="0" t="s">
        <v>220</v>
      </c>
      <c r="B98" s="0" t="n">
        <f aca="false">AVERAGE(C98:D98)</f>
        <v>22.681</v>
      </c>
      <c r="C98" s="0" t="n">
        <v>22.681</v>
      </c>
    </row>
    <row r="99" customFormat="false" ht="15" hidden="false" customHeight="false" outlineLevel="0" collapsed="false">
      <c r="A99" s="0" t="s">
        <v>83</v>
      </c>
      <c r="B99" s="0" t="n">
        <f aca="false">AVERAGE(C99:D99)</f>
        <v>22.652</v>
      </c>
      <c r="C99" s="0" t="n">
        <v>22.652</v>
      </c>
    </row>
    <row r="100" customFormat="false" ht="15" hidden="false" customHeight="false" outlineLevel="0" collapsed="false">
      <c r="A100" s="0" t="s">
        <v>65</v>
      </c>
      <c r="B100" s="0" t="n">
        <f aca="false">AVERAGE(C100:D100)</f>
        <v>22.579</v>
      </c>
      <c r="C100" s="0" t="n">
        <v>22.579</v>
      </c>
    </row>
    <row r="101" customFormat="false" ht="15" hidden="false" customHeight="false" outlineLevel="0" collapsed="false">
      <c r="A101" s="0" t="s">
        <v>142</v>
      </c>
      <c r="B101" s="0" t="n">
        <f aca="false">AVERAGE(C101:D101)</f>
        <v>22.503</v>
      </c>
      <c r="C101" s="0" t="n">
        <v>22.503</v>
      </c>
    </row>
    <row r="102" customFormat="false" ht="15" hidden="false" customHeight="false" outlineLevel="0" collapsed="false">
      <c r="A102" s="0" t="s">
        <v>58</v>
      </c>
      <c r="B102" s="0" t="n">
        <f aca="false">AVERAGE(C102:D102)</f>
        <v>22.422</v>
      </c>
      <c r="C102" s="0" t="n">
        <v>22.422</v>
      </c>
    </row>
    <row r="103" customFormat="false" ht="15" hidden="false" customHeight="false" outlineLevel="0" collapsed="false">
      <c r="A103" s="0" t="s">
        <v>140</v>
      </c>
      <c r="B103" s="0" t="n">
        <f aca="false">AVERAGE(C103:D103)</f>
        <v>22.299</v>
      </c>
      <c r="C103" s="0" t="n">
        <v>22.299</v>
      </c>
    </row>
    <row r="104" customFormat="false" ht="15" hidden="false" customHeight="false" outlineLevel="0" collapsed="false">
      <c r="A104" s="0" t="s">
        <v>84</v>
      </c>
      <c r="B104" s="0" t="n">
        <f aca="false">AVERAGE(C104:D104)</f>
        <v>22.283</v>
      </c>
      <c r="C104" s="0" t="n">
        <v>22.283</v>
      </c>
    </row>
    <row r="105" customFormat="false" ht="15" hidden="false" customHeight="false" outlineLevel="0" collapsed="false">
      <c r="A105" s="0" t="s">
        <v>73</v>
      </c>
      <c r="B105" s="0" t="n">
        <f aca="false">AVERAGE(C105:D105)</f>
        <v>22.26</v>
      </c>
      <c r="C105" s="0" t="n">
        <v>22.26</v>
      </c>
    </row>
    <row r="106" customFormat="false" ht="15" hidden="false" customHeight="false" outlineLevel="0" collapsed="false">
      <c r="A106" s="0" t="s">
        <v>77</v>
      </c>
      <c r="B106" s="0" t="n">
        <f aca="false">AVERAGE(C106:D106)</f>
        <v>22.244</v>
      </c>
      <c r="C106" s="0" t="n">
        <v>22.244</v>
      </c>
    </row>
    <row r="107" customFormat="false" ht="15" hidden="false" customHeight="false" outlineLevel="0" collapsed="false">
      <c r="A107" s="0" t="s">
        <v>80</v>
      </c>
      <c r="B107" s="0" t="n">
        <f aca="false">AVERAGE(C107:D107)</f>
        <v>22.241</v>
      </c>
      <c r="C107" s="0" t="n">
        <v>22.241</v>
      </c>
    </row>
    <row r="108" customFormat="false" ht="15" hidden="false" customHeight="false" outlineLevel="0" collapsed="false">
      <c r="A108" s="0" t="s">
        <v>107</v>
      </c>
      <c r="B108" s="0" t="n">
        <f aca="false">AVERAGE(C108:D108)</f>
        <v>22.219</v>
      </c>
      <c r="C108" s="0" t="n">
        <v>22.219</v>
      </c>
    </row>
    <row r="109" customFormat="false" ht="15" hidden="false" customHeight="false" outlineLevel="0" collapsed="false">
      <c r="A109" s="0" t="s">
        <v>78</v>
      </c>
      <c r="B109" s="0" t="n">
        <f aca="false">AVERAGE(C109:D109)</f>
        <v>22.215</v>
      </c>
      <c r="C109" s="0" t="n">
        <v>22.215</v>
      </c>
    </row>
    <row r="110" customFormat="false" ht="15" hidden="false" customHeight="false" outlineLevel="0" collapsed="false">
      <c r="A110" s="0" t="s">
        <v>101</v>
      </c>
      <c r="B110" s="0" t="n">
        <f aca="false">AVERAGE(C110:D110)</f>
        <v>22.132</v>
      </c>
      <c r="C110" s="0" t="n">
        <v>22.132</v>
      </c>
    </row>
    <row r="111" customFormat="false" ht="15" hidden="false" customHeight="false" outlineLevel="0" collapsed="false">
      <c r="A111" s="0" t="s">
        <v>79</v>
      </c>
      <c r="B111" s="0" t="n">
        <f aca="false">AVERAGE(C111:D111)</f>
        <v>22.106</v>
      </c>
      <c r="C111" s="0" t="n">
        <v>22.106</v>
      </c>
    </row>
    <row r="112" customFormat="false" ht="15" hidden="false" customHeight="false" outlineLevel="0" collapsed="false">
      <c r="A112" s="0" t="s">
        <v>194</v>
      </c>
      <c r="B112" s="0" t="n">
        <f aca="false">AVERAGE(C112:D112)</f>
        <v>22.072</v>
      </c>
      <c r="C112" s="0" t="n">
        <v>22.072</v>
      </c>
    </row>
    <row r="113" customFormat="false" ht="15" hidden="false" customHeight="false" outlineLevel="0" collapsed="false">
      <c r="A113" s="0" t="s">
        <v>108</v>
      </c>
      <c r="B113" s="0" t="n">
        <f aca="false">AVERAGE(C113:D113)</f>
        <v>21.93</v>
      </c>
      <c r="C113" s="0" t="n">
        <v>21.93</v>
      </c>
    </row>
    <row r="114" customFormat="false" ht="15" hidden="false" customHeight="false" outlineLevel="0" collapsed="false">
      <c r="A114" s="0" t="s">
        <v>103</v>
      </c>
      <c r="B114" s="0" t="n">
        <f aca="false">AVERAGE(C114:D114)</f>
        <v>21.905</v>
      </c>
      <c r="C114" s="0" t="n">
        <v>21.905</v>
      </c>
    </row>
    <row r="115" customFormat="false" ht="15" hidden="false" customHeight="false" outlineLevel="0" collapsed="false">
      <c r="A115" s="0" t="s">
        <v>153</v>
      </c>
      <c r="B115" s="0" t="n">
        <f aca="false">AVERAGE(C115:D115)</f>
        <v>21.8</v>
      </c>
      <c r="C115" s="0" t="n">
        <v>21.8</v>
      </c>
    </row>
    <row r="116" customFormat="false" ht="15" hidden="false" customHeight="false" outlineLevel="0" collapsed="false">
      <c r="A116" s="0" t="s">
        <v>154</v>
      </c>
      <c r="B116" s="0" t="n">
        <f aca="false">AVERAGE(C116:D116)</f>
        <v>21.799</v>
      </c>
      <c r="C116" s="0" t="n">
        <v>21.799</v>
      </c>
    </row>
    <row r="117" customFormat="false" ht="15" hidden="false" customHeight="false" outlineLevel="0" collapsed="false">
      <c r="A117" s="0" t="s">
        <v>94</v>
      </c>
      <c r="B117" s="0" t="n">
        <f aca="false">AVERAGE(C117:D117)</f>
        <v>21.689</v>
      </c>
      <c r="C117" s="0" t="n">
        <v>21.689</v>
      </c>
    </row>
    <row r="118" customFormat="false" ht="15" hidden="false" customHeight="false" outlineLevel="0" collapsed="false">
      <c r="A118" s="0" t="s">
        <v>135</v>
      </c>
      <c r="B118" s="0" t="n">
        <f aca="false">AVERAGE(C118:D118)</f>
        <v>21.678</v>
      </c>
      <c r="C118" s="0" t="n">
        <v>21.678</v>
      </c>
    </row>
    <row r="119" customFormat="false" ht="15" hidden="false" customHeight="false" outlineLevel="0" collapsed="false">
      <c r="A119" s="0" t="s">
        <v>130</v>
      </c>
      <c r="B119" s="0" t="n">
        <f aca="false">AVERAGE(C119:D119)</f>
        <v>21.54</v>
      </c>
      <c r="C119" s="0" t="n">
        <v>21.54</v>
      </c>
    </row>
    <row r="120" customFormat="false" ht="15" hidden="false" customHeight="false" outlineLevel="0" collapsed="false">
      <c r="A120" s="0" t="s">
        <v>138</v>
      </c>
      <c r="B120" s="0" t="n">
        <f aca="false">AVERAGE(C120:D120)</f>
        <v>21.369</v>
      </c>
      <c r="C120" s="0" t="n">
        <v>21.369</v>
      </c>
    </row>
    <row r="121" customFormat="false" ht="15" hidden="false" customHeight="false" outlineLevel="0" collapsed="false">
      <c r="A121" s="0" t="s">
        <v>186</v>
      </c>
      <c r="B121" s="0" t="n">
        <f aca="false">AVERAGE(C121:D121)</f>
        <v>21.15</v>
      </c>
      <c r="C121" s="0" t="n">
        <v>21.15</v>
      </c>
    </row>
    <row r="122" customFormat="false" ht="15" hidden="false" customHeight="false" outlineLevel="0" collapsed="false">
      <c r="A122" s="0" t="s">
        <v>123</v>
      </c>
      <c r="B122" s="0" t="n">
        <f aca="false">AVERAGE(C122:D122)</f>
        <v>21.121</v>
      </c>
      <c r="C122" s="0" t="n">
        <v>21.121</v>
      </c>
    </row>
    <row r="123" customFormat="false" ht="15" hidden="false" customHeight="false" outlineLevel="0" collapsed="false">
      <c r="A123" s="0" t="s">
        <v>187</v>
      </c>
      <c r="B123" s="0" t="n">
        <f aca="false">AVERAGE(C123:D123)</f>
        <v>20.958</v>
      </c>
      <c r="C123" s="0" t="n">
        <v>20.958</v>
      </c>
    </row>
    <row r="124" customFormat="false" ht="15" hidden="false" customHeight="false" outlineLevel="0" collapsed="false">
      <c r="A124" s="0" t="s">
        <v>95</v>
      </c>
      <c r="B124" s="0" t="n">
        <f aca="false">AVERAGE(C124:D124)</f>
        <v>20.898</v>
      </c>
      <c r="C124" s="0" t="n">
        <v>20.898</v>
      </c>
    </row>
    <row r="125" customFormat="false" ht="15" hidden="false" customHeight="false" outlineLevel="0" collapsed="false">
      <c r="A125" s="0" t="s">
        <v>137</v>
      </c>
      <c r="B125" s="0" t="n">
        <f aca="false">AVERAGE(C125:D125)</f>
        <v>20.853</v>
      </c>
      <c r="C125" s="0" t="n">
        <v>20.853</v>
      </c>
    </row>
    <row r="126" customFormat="false" ht="15" hidden="false" customHeight="false" outlineLevel="0" collapsed="false">
      <c r="A126" s="0" t="s">
        <v>147</v>
      </c>
      <c r="B126" s="0" t="n">
        <f aca="false">AVERAGE(C126:D126)</f>
        <v>20.849</v>
      </c>
      <c r="C126" s="0" t="n">
        <v>20.849</v>
      </c>
    </row>
    <row r="127" customFormat="false" ht="15" hidden="false" customHeight="false" outlineLevel="0" collapsed="false">
      <c r="A127" s="0" t="s">
        <v>136</v>
      </c>
      <c r="B127" s="0" t="n">
        <f aca="false">AVERAGE(C127:D127)</f>
        <v>20.764</v>
      </c>
      <c r="C127" s="0" t="n">
        <v>20.764</v>
      </c>
    </row>
    <row r="128" customFormat="false" ht="15" hidden="false" customHeight="false" outlineLevel="0" collapsed="false">
      <c r="A128" s="0" t="s">
        <v>279</v>
      </c>
      <c r="B128" s="0" t="n">
        <f aca="false">AVERAGE(C128:D128)</f>
        <v>20.7</v>
      </c>
      <c r="C128" s="0" t="n">
        <v>20.7</v>
      </c>
    </row>
    <row r="129" customFormat="false" ht="15" hidden="false" customHeight="false" outlineLevel="0" collapsed="false">
      <c r="A129" s="0" t="s">
        <v>278</v>
      </c>
      <c r="B129" s="0" t="n">
        <f aca="false">AVERAGE(C129:D129)</f>
        <v>20.69</v>
      </c>
      <c r="C129" s="0" t="n">
        <v>20.69</v>
      </c>
    </row>
    <row r="130" customFormat="false" ht="15" hidden="false" customHeight="false" outlineLevel="0" collapsed="false">
      <c r="A130" s="0" t="s">
        <v>157</v>
      </c>
      <c r="B130" s="0" t="n">
        <f aca="false">AVERAGE(C130:D130)</f>
        <v>20.675</v>
      </c>
      <c r="C130" s="0" t="n">
        <v>20.675</v>
      </c>
    </row>
    <row r="131" customFormat="false" ht="15" hidden="false" customHeight="false" outlineLevel="0" collapsed="false">
      <c r="A131" s="0" t="s">
        <v>172</v>
      </c>
      <c r="B131" s="0" t="n">
        <f aca="false">AVERAGE(C131:D131)</f>
        <v>20.596</v>
      </c>
      <c r="C131" s="0" t="n">
        <v>20.596</v>
      </c>
    </row>
    <row r="132" customFormat="false" ht="15" hidden="false" customHeight="false" outlineLevel="0" collapsed="false">
      <c r="A132" s="0" t="s">
        <v>150</v>
      </c>
      <c r="B132" s="0" t="n">
        <f aca="false">AVERAGE(C132:D132)</f>
        <v>20.505</v>
      </c>
      <c r="C132" s="0" t="n">
        <v>20.505</v>
      </c>
    </row>
    <row r="133" customFormat="false" ht="15" hidden="false" customHeight="false" outlineLevel="0" collapsed="false">
      <c r="A133" s="0" t="s">
        <v>89</v>
      </c>
      <c r="B133" s="0" t="n">
        <f aca="false">AVERAGE(C133:D133)</f>
        <v>20.453</v>
      </c>
      <c r="C133" s="0" t="n">
        <v>20.453</v>
      </c>
    </row>
    <row r="134" customFormat="false" ht="15" hidden="false" customHeight="false" outlineLevel="0" collapsed="false">
      <c r="A134" s="0" t="s">
        <v>53</v>
      </c>
      <c r="B134" s="0" t="n">
        <f aca="false">AVERAGE(C134:D134)</f>
        <v>20.315</v>
      </c>
      <c r="C134" s="0" t="n">
        <v>20.315</v>
      </c>
    </row>
    <row r="135" customFormat="false" ht="15" hidden="false" customHeight="false" outlineLevel="0" collapsed="false">
      <c r="A135" s="0" t="s">
        <v>127</v>
      </c>
      <c r="B135" s="0" t="n">
        <f aca="false">AVERAGE(C135:D135)</f>
        <v>20.262</v>
      </c>
      <c r="C135" s="0" t="n">
        <v>20.262</v>
      </c>
    </row>
    <row r="136" customFormat="false" ht="15" hidden="false" customHeight="false" outlineLevel="0" collapsed="false">
      <c r="A136" s="0" t="s">
        <v>280</v>
      </c>
      <c r="B136" s="0" t="n">
        <f aca="false">AVERAGE(C136:D136)</f>
        <v>20.178</v>
      </c>
      <c r="C136" s="0" t="n">
        <v>20.178</v>
      </c>
    </row>
    <row r="137" customFormat="false" ht="15" hidden="false" customHeight="false" outlineLevel="0" collapsed="false">
      <c r="A137" s="0" t="s">
        <v>96</v>
      </c>
      <c r="B137" s="0" t="n">
        <f aca="false">AVERAGE(C137:D137)</f>
        <v>20.174</v>
      </c>
      <c r="C137" s="0" t="n">
        <v>20.174</v>
      </c>
    </row>
    <row r="138" customFormat="false" ht="15" hidden="false" customHeight="false" outlineLevel="0" collapsed="false">
      <c r="A138" s="0" t="s">
        <v>159</v>
      </c>
      <c r="B138" s="0" t="n">
        <f aca="false">AVERAGE(C138:D138)</f>
        <v>20.145</v>
      </c>
      <c r="C138" s="0" t="n">
        <v>20.145</v>
      </c>
    </row>
    <row r="139" customFormat="false" ht="15" hidden="false" customHeight="false" outlineLevel="0" collapsed="false">
      <c r="A139" s="0" t="s">
        <v>74</v>
      </c>
      <c r="B139" s="0" t="n">
        <f aca="false">AVERAGE(C139:D139)</f>
        <v>20.045</v>
      </c>
      <c r="C139" s="0" t="n">
        <v>20.045</v>
      </c>
    </row>
    <row r="140" customFormat="false" ht="15" hidden="false" customHeight="false" outlineLevel="0" collapsed="false">
      <c r="A140" s="0" t="s">
        <v>198</v>
      </c>
      <c r="B140" s="0" t="n">
        <f aca="false">AVERAGE(C140:D140)</f>
        <v>20.03</v>
      </c>
      <c r="C140" s="0" t="n">
        <v>20.03</v>
      </c>
    </row>
    <row r="141" customFormat="false" ht="15" hidden="false" customHeight="false" outlineLevel="0" collapsed="false">
      <c r="A141" s="0" t="s">
        <v>146</v>
      </c>
      <c r="B141" s="0" t="n">
        <f aca="false">AVERAGE(C141:D141)</f>
        <v>19.944</v>
      </c>
      <c r="C141" s="0" t="n">
        <v>19.944</v>
      </c>
    </row>
    <row r="142" customFormat="false" ht="15" hidden="false" customHeight="false" outlineLevel="0" collapsed="false">
      <c r="A142" s="0" t="s">
        <v>203</v>
      </c>
      <c r="B142" s="0" t="n">
        <f aca="false">AVERAGE(C142:D142)</f>
        <v>19.927</v>
      </c>
      <c r="C142" s="0" t="n">
        <v>19.927</v>
      </c>
    </row>
    <row r="143" customFormat="false" ht="15" hidden="false" customHeight="false" outlineLevel="0" collapsed="false">
      <c r="A143" s="0" t="s">
        <v>218</v>
      </c>
      <c r="B143" s="0" t="n">
        <f aca="false">AVERAGE(C143:D143)</f>
        <v>19.821</v>
      </c>
      <c r="C143" s="0" t="n">
        <v>19.821</v>
      </c>
    </row>
    <row r="144" customFormat="false" ht="15" hidden="false" customHeight="false" outlineLevel="0" collapsed="false">
      <c r="A144" s="0" t="s">
        <v>152</v>
      </c>
      <c r="B144" s="0" t="n">
        <f aca="false">AVERAGE(C144:D144)</f>
        <v>19.783</v>
      </c>
      <c r="C144" s="0" t="n">
        <v>19.783</v>
      </c>
    </row>
    <row r="145" customFormat="false" ht="15" hidden="false" customHeight="false" outlineLevel="0" collapsed="false">
      <c r="A145" s="0" t="s">
        <v>233</v>
      </c>
      <c r="B145" s="0" t="n">
        <f aca="false">AVERAGE(C145:D145)</f>
        <v>19.779</v>
      </c>
      <c r="C145" s="0" t="n">
        <v>19.779</v>
      </c>
    </row>
    <row r="146" customFormat="false" ht="15" hidden="false" customHeight="false" outlineLevel="0" collapsed="false">
      <c r="A146" s="0" t="s">
        <v>182</v>
      </c>
      <c r="B146" s="0" t="n">
        <f aca="false">AVERAGE(C146:D146)</f>
        <v>19.759</v>
      </c>
      <c r="C146" s="0" t="n">
        <v>19.759</v>
      </c>
    </row>
    <row r="147" customFormat="false" ht="15" hidden="false" customHeight="false" outlineLevel="0" collapsed="false">
      <c r="A147" s="0" t="s">
        <v>156</v>
      </c>
      <c r="B147" s="0" t="n">
        <f aca="false">AVERAGE(C147:D147)</f>
        <v>19.686</v>
      </c>
      <c r="C147" s="0" t="n">
        <v>19.686</v>
      </c>
    </row>
    <row r="148" customFormat="false" ht="15" hidden="false" customHeight="false" outlineLevel="0" collapsed="false">
      <c r="A148" s="0" t="s">
        <v>158</v>
      </c>
      <c r="B148" s="0" t="n">
        <f aca="false">AVERAGE(C148:D148)</f>
        <v>19.601</v>
      </c>
      <c r="C148" s="0" t="n">
        <v>19.601</v>
      </c>
    </row>
    <row r="149" customFormat="false" ht="15" hidden="false" customHeight="false" outlineLevel="0" collapsed="false">
      <c r="A149" s="0" t="s">
        <v>93</v>
      </c>
      <c r="B149" s="0" t="n">
        <f aca="false">AVERAGE(C149:D149)</f>
        <v>19.594</v>
      </c>
      <c r="C149" s="0" t="n">
        <v>19.594</v>
      </c>
    </row>
    <row r="150" customFormat="false" ht="15" hidden="false" customHeight="false" outlineLevel="0" collapsed="false">
      <c r="A150" s="0" t="s">
        <v>104</v>
      </c>
      <c r="B150" s="0" t="n">
        <f aca="false">AVERAGE(C150:D150)</f>
        <v>19.484</v>
      </c>
      <c r="C150" s="0" t="n">
        <v>19.484</v>
      </c>
    </row>
    <row r="151" customFormat="false" ht="15" hidden="false" customHeight="false" outlineLevel="0" collapsed="false">
      <c r="A151" s="0" t="s">
        <v>105</v>
      </c>
      <c r="B151" s="0" t="n">
        <f aca="false">AVERAGE(C151:D151)</f>
        <v>19.447</v>
      </c>
      <c r="C151" s="0" t="n">
        <v>19.447</v>
      </c>
    </row>
    <row r="152" customFormat="false" ht="15" hidden="false" customHeight="false" outlineLevel="0" collapsed="false">
      <c r="A152" s="0" t="s">
        <v>139</v>
      </c>
      <c r="B152" s="0" t="n">
        <f aca="false">AVERAGE(C152:D152)</f>
        <v>19.398</v>
      </c>
      <c r="C152" s="0" t="n">
        <v>19.398</v>
      </c>
    </row>
    <row r="153" customFormat="false" ht="15" hidden="false" customHeight="false" outlineLevel="0" collapsed="false">
      <c r="A153" s="0" t="s">
        <v>92</v>
      </c>
      <c r="B153" s="0" t="n">
        <f aca="false">AVERAGE(C153:D153)</f>
        <v>19.373</v>
      </c>
      <c r="C153" s="0" t="n">
        <v>19.373</v>
      </c>
    </row>
    <row r="154" customFormat="false" ht="15" hidden="false" customHeight="false" outlineLevel="0" collapsed="false">
      <c r="A154" s="0" t="s">
        <v>126</v>
      </c>
      <c r="B154" s="0" t="n">
        <f aca="false">AVERAGE(C154:D154)</f>
        <v>19.301</v>
      </c>
      <c r="C154" s="0" t="n">
        <v>19.301</v>
      </c>
    </row>
    <row r="155" customFormat="false" ht="15" hidden="false" customHeight="false" outlineLevel="0" collapsed="false">
      <c r="A155" s="0" t="s">
        <v>213</v>
      </c>
      <c r="B155" s="0" t="n">
        <f aca="false">AVERAGE(C155:D155)</f>
        <v>19.263</v>
      </c>
      <c r="C155" s="0" t="n">
        <v>19.263</v>
      </c>
    </row>
    <row r="156" customFormat="false" ht="15" hidden="false" customHeight="false" outlineLevel="0" collapsed="false">
      <c r="A156" s="0" t="s">
        <v>98</v>
      </c>
      <c r="B156" s="0" t="n">
        <f aca="false">AVERAGE(C156:D156)</f>
        <v>19.213</v>
      </c>
      <c r="C156" s="0" t="n">
        <v>19.213</v>
      </c>
    </row>
    <row r="157" customFormat="false" ht="15" hidden="false" customHeight="false" outlineLevel="0" collapsed="false">
      <c r="A157" s="0" t="s">
        <v>102</v>
      </c>
      <c r="B157" s="0" t="n">
        <f aca="false">AVERAGE(C157:D157)</f>
        <v>19.19</v>
      </c>
      <c r="C157" s="0" t="n">
        <v>19.19</v>
      </c>
    </row>
    <row r="158" customFormat="false" ht="15" hidden="false" customHeight="false" outlineLevel="0" collapsed="false">
      <c r="A158" s="0" t="s">
        <v>228</v>
      </c>
      <c r="B158" s="0" t="n">
        <f aca="false">AVERAGE(C158:D158)</f>
        <v>19.172</v>
      </c>
      <c r="C158" s="0" t="n">
        <v>19.172</v>
      </c>
    </row>
    <row r="159" customFormat="false" ht="15" hidden="false" customHeight="false" outlineLevel="0" collapsed="false">
      <c r="A159" s="0" t="s">
        <v>184</v>
      </c>
      <c r="B159" s="0" t="n">
        <f aca="false">AVERAGE(C159:D159)</f>
        <v>19.152</v>
      </c>
      <c r="C159" s="0" t="n">
        <v>19.152</v>
      </c>
    </row>
    <row r="160" customFormat="false" ht="15" hidden="false" customHeight="false" outlineLevel="0" collapsed="false">
      <c r="A160" s="0" t="s">
        <v>191</v>
      </c>
      <c r="B160" s="0" t="n">
        <f aca="false">AVERAGE(C160:D160)</f>
        <v>19.089</v>
      </c>
      <c r="C160" s="0" t="n">
        <v>19.089</v>
      </c>
    </row>
    <row r="161" customFormat="false" ht="15" hidden="false" customHeight="false" outlineLevel="0" collapsed="false">
      <c r="A161" s="0" t="s">
        <v>264</v>
      </c>
      <c r="B161" s="0" t="n">
        <f aca="false">AVERAGE(C161:D161)</f>
        <v>19.009</v>
      </c>
      <c r="C161" s="0" t="n">
        <v>19.009</v>
      </c>
    </row>
    <row r="162" customFormat="false" ht="15" hidden="false" customHeight="false" outlineLevel="0" collapsed="false">
      <c r="A162" s="0" t="s">
        <v>223</v>
      </c>
      <c r="B162" s="0" t="n">
        <f aca="false">AVERAGE(C162:D162)</f>
        <v>18.909</v>
      </c>
      <c r="C162" s="0" t="n">
        <v>18.909</v>
      </c>
    </row>
    <row r="163" customFormat="false" ht="15" hidden="false" customHeight="false" outlineLevel="0" collapsed="false">
      <c r="A163" s="0" t="s">
        <v>118</v>
      </c>
      <c r="B163" s="0" t="n">
        <f aca="false">AVERAGE(C163:D163)</f>
        <v>18.857</v>
      </c>
      <c r="C163" s="0" t="n">
        <v>18.857</v>
      </c>
    </row>
    <row r="164" customFormat="false" ht="15" hidden="false" customHeight="false" outlineLevel="0" collapsed="false">
      <c r="A164" s="0" t="s">
        <v>192</v>
      </c>
      <c r="B164" s="0" t="n">
        <f aca="false">AVERAGE(C164:D164)</f>
        <v>18.843</v>
      </c>
      <c r="C164" s="0" t="n">
        <v>18.843</v>
      </c>
    </row>
    <row r="165" customFormat="false" ht="15" hidden="false" customHeight="false" outlineLevel="0" collapsed="false">
      <c r="A165" s="0" t="s">
        <v>262</v>
      </c>
      <c r="B165" s="0" t="n">
        <f aca="false">AVERAGE(C165:D165)</f>
        <v>18.761</v>
      </c>
      <c r="C165" s="0" t="n">
        <v>18.761</v>
      </c>
    </row>
    <row r="166" customFormat="false" ht="15" hidden="false" customHeight="false" outlineLevel="0" collapsed="false">
      <c r="A166" s="0" t="s">
        <v>179</v>
      </c>
      <c r="B166" s="0" t="n">
        <f aca="false">AVERAGE(C166:D166)</f>
        <v>18.723</v>
      </c>
      <c r="C166" s="0" t="n">
        <v>18.723</v>
      </c>
    </row>
    <row r="167" customFormat="false" ht="15" hidden="false" customHeight="false" outlineLevel="0" collapsed="false">
      <c r="A167" s="0" t="s">
        <v>272</v>
      </c>
      <c r="B167" s="0" t="n">
        <f aca="false">AVERAGE(C167:D167)</f>
        <v>18.659</v>
      </c>
      <c r="C167" s="0" t="n">
        <v>18.659</v>
      </c>
    </row>
    <row r="168" customFormat="false" ht="15" hidden="false" customHeight="false" outlineLevel="0" collapsed="false">
      <c r="A168" s="0" t="s">
        <v>111</v>
      </c>
      <c r="B168" s="0" t="n">
        <f aca="false">AVERAGE(C168:D168)</f>
        <v>18.577</v>
      </c>
      <c r="C168" s="0" t="n">
        <v>18.577</v>
      </c>
    </row>
    <row r="169" customFormat="false" ht="15" hidden="false" customHeight="false" outlineLevel="0" collapsed="false">
      <c r="A169" s="0" t="s">
        <v>163</v>
      </c>
      <c r="B169" s="0" t="n">
        <f aca="false">AVERAGE(C169:D169)</f>
        <v>18.553</v>
      </c>
      <c r="C169" s="0" t="n">
        <v>18.553</v>
      </c>
    </row>
    <row r="170" customFormat="false" ht="15" hidden="false" customHeight="false" outlineLevel="0" collapsed="false">
      <c r="A170" s="0" t="s">
        <v>134</v>
      </c>
      <c r="B170" s="0" t="n">
        <f aca="false">AVERAGE(C170:D170)</f>
        <v>18.532</v>
      </c>
      <c r="C170" s="0" t="n">
        <v>18.532</v>
      </c>
    </row>
    <row r="171" customFormat="false" ht="15" hidden="false" customHeight="false" outlineLevel="0" collapsed="false">
      <c r="A171" s="0" t="s">
        <v>300</v>
      </c>
      <c r="B171" s="0" t="n">
        <f aca="false">AVERAGE(C171:D171)</f>
        <v>18.439</v>
      </c>
      <c r="C171" s="0" t="n">
        <v>18.439</v>
      </c>
    </row>
    <row r="172" customFormat="false" ht="15" hidden="false" customHeight="false" outlineLevel="0" collapsed="false">
      <c r="A172" s="0" t="s">
        <v>110</v>
      </c>
      <c r="B172" s="0" t="n">
        <f aca="false">AVERAGE(C172:D172)</f>
        <v>18.378</v>
      </c>
      <c r="C172" s="0" t="n">
        <v>18.378</v>
      </c>
    </row>
    <row r="173" customFormat="false" ht="15" hidden="false" customHeight="false" outlineLevel="0" collapsed="false">
      <c r="A173" s="0" t="s">
        <v>148</v>
      </c>
      <c r="B173" s="0" t="n">
        <f aca="false">AVERAGE(C173:D173)</f>
        <v>18.327</v>
      </c>
      <c r="C173" s="0" t="n">
        <v>18.327</v>
      </c>
    </row>
    <row r="174" customFormat="false" ht="15" hidden="false" customHeight="false" outlineLevel="0" collapsed="false">
      <c r="A174" s="0" t="s">
        <v>224</v>
      </c>
      <c r="B174" s="0" t="n">
        <f aca="false">AVERAGE(C174:D174)</f>
        <v>18.304</v>
      </c>
      <c r="C174" s="0" t="n">
        <v>18.304</v>
      </c>
    </row>
    <row r="175" customFormat="false" ht="15" hidden="false" customHeight="false" outlineLevel="0" collapsed="false">
      <c r="A175" s="0" t="s">
        <v>188</v>
      </c>
      <c r="B175" s="0" t="n">
        <f aca="false">AVERAGE(C175:D175)</f>
        <v>18.263</v>
      </c>
      <c r="C175" s="0" t="n">
        <v>18.263</v>
      </c>
    </row>
    <row r="176" customFormat="false" ht="15" hidden="false" customHeight="false" outlineLevel="0" collapsed="false">
      <c r="A176" s="0" t="s">
        <v>265</v>
      </c>
      <c r="B176" s="0" t="n">
        <f aca="false">AVERAGE(C176:D176)</f>
        <v>18.26</v>
      </c>
      <c r="C176" s="0" t="n">
        <v>18.26</v>
      </c>
    </row>
    <row r="177" customFormat="false" ht="15" hidden="false" customHeight="false" outlineLevel="0" collapsed="false">
      <c r="A177" s="0" t="s">
        <v>131</v>
      </c>
      <c r="B177" s="0" t="n">
        <f aca="false">AVERAGE(C177:D177)</f>
        <v>18.216</v>
      </c>
      <c r="C177" s="0" t="n">
        <v>18.216</v>
      </c>
    </row>
    <row r="178" customFormat="false" ht="15" hidden="false" customHeight="false" outlineLevel="0" collapsed="false">
      <c r="A178" s="0" t="s">
        <v>155</v>
      </c>
      <c r="B178" s="0" t="n">
        <f aca="false">AVERAGE(C178:D178)</f>
        <v>18.193</v>
      </c>
      <c r="C178" s="0" t="n">
        <v>18.193</v>
      </c>
    </row>
    <row r="179" customFormat="false" ht="15" hidden="false" customHeight="false" outlineLevel="0" collapsed="false">
      <c r="A179" s="0" t="s">
        <v>119</v>
      </c>
      <c r="B179" s="0" t="n">
        <f aca="false">AVERAGE(C179:D179)</f>
        <v>18.17</v>
      </c>
      <c r="C179" s="0" t="n">
        <v>18.17</v>
      </c>
    </row>
    <row r="180" customFormat="false" ht="15" hidden="false" customHeight="false" outlineLevel="0" collapsed="false">
      <c r="A180" s="0" t="s">
        <v>112</v>
      </c>
      <c r="B180" s="0" t="n">
        <f aca="false">AVERAGE(C180:D180)</f>
        <v>18.153</v>
      </c>
      <c r="C180" s="0" t="n">
        <v>18.153</v>
      </c>
    </row>
    <row r="181" customFormat="false" ht="15" hidden="false" customHeight="false" outlineLevel="0" collapsed="false">
      <c r="A181" s="0" t="s">
        <v>100</v>
      </c>
      <c r="B181" s="0" t="n">
        <f aca="false">AVERAGE(C181:D181)</f>
        <v>18.095</v>
      </c>
      <c r="C181" s="0" t="n">
        <v>18.095</v>
      </c>
    </row>
    <row r="182" customFormat="false" ht="15" hidden="false" customHeight="false" outlineLevel="0" collapsed="false">
      <c r="A182" s="0" t="s">
        <v>207</v>
      </c>
      <c r="B182" s="0" t="n">
        <f aca="false">AVERAGE(C182:D182)</f>
        <v>18.033</v>
      </c>
      <c r="C182" s="0" t="n">
        <v>18.033</v>
      </c>
    </row>
    <row r="183" customFormat="false" ht="15" hidden="false" customHeight="false" outlineLevel="0" collapsed="false">
      <c r="A183" s="0" t="s">
        <v>151</v>
      </c>
      <c r="B183" s="0" t="n">
        <f aca="false">AVERAGE(C183:D183)</f>
        <v>18.023</v>
      </c>
      <c r="C183" s="0" t="n">
        <v>18.023</v>
      </c>
    </row>
    <row r="184" customFormat="false" ht="15" hidden="false" customHeight="false" outlineLevel="0" collapsed="false">
      <c r="A184" s="0" t="s">
        <v>161</v>
      </c>
      <c r="B184" s="0" t="n">
        <f aca="false">AVERAGE(C184:D184)</f>
        <v>18.006</v>
      </c>
      <c r="C184" s="0" t="n">
        <v>18.006</v>
      </c>
    </row>
    <row r="185" customFormat="false" ht="15" hidden="false" customHeight="false" outlineLevel="0" collapsed="false">
      <c r="A185" s="0" t="s">
        <v>284</v>
      </c>
      <c r="B185" s="0" t="n">
        <f aca="false">AVERAGE(C185:D185)</f>
        <v>17.924</v>
      </c>
      <c r="C185" s="0" t="n">
        <v>17.924</v>
      </c>
    </row>
    <row r="186" customFormat="false" ht="15" hidden="false" customHeight="false" outlineLevel="0" collapsed="false">
      <c r="A186" s="0" t="s">
        <v>189</v>
      </c>
      <c r="B186" s="0" t="n">
        <f aca="false">AVERAGE(C186:D186)</f>
        <v>17.897</v>
      </c>
      <c r="C186" s="0" t="n">
        <v>17.897</v>
      </c>
    </row>
    <row r="187" customFormat="false" ht="15" hidden="false" customHeight="false" outlineLevel="0" collapsed="false">
      <c r="A187" s="0" t="s">
        <v>145</v>
      </c>
      <c r="B187" s="0" t="n">
        <f aca="false">AVERAGE(C187:D187)</f>
        <v>17.836</v>
      </c>
      <c r="C187" s="0" t="n">
        <v>17.836</v>
      </c>
    </row>
    <row r="188" customFormat="false" ht="15" hidden="false" customHeight="false" outlineLevel="0" collapsed="false">
      <c r="A188" s="0" t="s">
        <v>128</v>
      </c>
      <c r="B188" s="0" t="n">
        <f aca="false">AVERAGE(C188:D188)</f>
        <v>17.795</v>
      </c>
      <c r="C188" s="0" t="n">
        <v>17.795</v>
      </c>
    </row>
    <row r="189" customFormat="false" ht="15" hidden="false" customHeight="false" outlineLevel="0" collapsed="false">
      <c r="A189" s="0" t="s">
        <v>258</v>
      </c>
      <c r="B189" s="0" t="n">
        <f aca="false">AVERAGE(C189:D189)</f>
        <v>17.777</v>
      </c>
      <c r="C189" s="0" t="n">
        <v>17.777</v>
      </c>
    </row>
    <row r="190" customFormat="false" ht="15" hidden="false" customHeight="false" outlineLevel="0" collapsed="false">
      <c r="A190" s="0" t="s">
        <v>214</v>
      </c>
      <c r="B190" s="0" t="n">
        <f aca="false">AVERAGE(C190:D190)</f>
        <v>17.757</v>
      </c>
      <c r="C190" s="0" t="n">
        <v>17.757</v>
      </c>
    </row>
    <row r="191" customFormat="false" ht="15" hidden="false" customHeight="false" outlineLevel="0" collapsed="false">
      <c r="A191" s="0" t="s">
        <v>125</v>
      </c>
      <c r="B191" s="0" t="n">
        <f aca="false">AVERAGE(C191:D191)</f>
        <v>17.717</v>
      </c>
      <c r="C191" s="0" t="n">
        <v>17.717</v>
      </c>
    </row>
    <row r="192" customFormat="false" ht="15" hidden="false" customHeight="false" outlineLevel="0" collapsed="false">
      <c r="A192" s="0" t="s">
        <v>216</v>
      </c>
      <c r="B192" s="0" t="n">
        <f aca="false">AVERAGE(C192:D192)</f>
        <v>17.673</v>
      </c>
      <c r="C192" s="0" t="n">
        <v>17.673</v>
      </c>
    </row>
    <row r="193" customFormat="false" ht="15" hidden="false" customHeight="false" outlineLevel="0" collapsed="false">
      <c r="A193" s="0" t="s">
        <v>219</v>
      </c>
      <c r="B193" s="0" t="n">
        <f aca="false">AVERAGE(C193:D193)</f>
        <v>17.66</v>
      </c>
      <c r="C193" s="0" t="n">
        <v>17.66</v>
      </c>
    </row>
    <row r="194" customFormat="false" ht="15" hidden="false" customHeight="false" outlineLevel="0" collapsed="false">
      <c r="A194" s="0" t="s">
        <v>162</v>
      </c>
      <c r="B194" s="0" t="n">
        <f aca="false">AVERAGE(C194:D194)</f>
        <v>17.566</v>
      </c>
      <c r="C194" s="0" t="n">
        <v>17.566</v>
      </c>
    </row>
    <row r="195" customFormat="false" ht="15" hidden="false" customHeight="false" outlineLevel="0" collapsed="false">
      <c r="A195" s="0" t="s">
        <v>210</v>
      </c>
      <c r="B195" s="0" t="n">
        <f aca="false">AVERAGE(C195:D195)</f>
        <v>17.523</v>
      </c>
      <c r="C195" s="0" t="n">
        <v>17.523</v>
      </c>
    </row>
    <row r="196" customFormat="false" ht="15" hidden="false" customHeight="false" outlineLevel="0" collapsed="false">
      <c r="A196" s="0" t="s">
        <v>99</v>
      </c>
      <c r="B196" s="0" t="n">
        <f aca="false">AVERAGE(C196:D196)</f>
        <v>17.437</v>
      </c>
      <c r="C196" s="0" t="n">
        <v>17.437</v>
      </c>
    </row>
    <row r="197" customFormat="false" ht="15" hidden="false" customHeight="false" outlineLevel="0" collapsed="false">
      <c r="A197" s="0" t="s">
        <v>266</v>
      </c>
      <c r="B197" s="0" t="n">
        <f aca="false">AVERAGE(C197:D197)</f>
        <v>17.432</v>
      </c>
      <c r="C197" s="0" t="n">
        <v>17.432</v>
      </c>
    </row>
    <row r="198" customFormat="false" ht="15" hidden="false" customHeight="false" outlineLevel="0" collapsed="false">
      <c r="A198" s="0" t="s">
        <v>259</v>
      </c>
      <c r="B198" s="0" t="n">
        <f aca="false">AVERAGE(C198:D198)</f>
        <v>17.358</v>
      </c>
      <c r="C198" s="0" t="n">
        <v>17.358</v>
      </c>
    </row>
    <row r="199" customFormat="false" ht="15" hidden="false" customHeight="false" outlineLevel="0" collapsed="false">
      <c r="A199" s="0" t="s">
        <v>143</v>
      </c>
      <c r="B199" s="0" t="n">
        <f aca="false">AVERAGE(C199:D199)</f>
        <v>17.297</v>
      </c>
      <c r="C199" s="0" t="n">
        <v>17.297</v>
      </c>
    </row>
    <row r="200" customFormat="false" ht="15" hidden="false" customHeight="false" outlineLevel="0" collapsed="false">
      <c r="A200" s="0" t="s">
        <v>144</v>
      </c>
      <c r="B200" s="0" t="n">
        <f aca="false">AVERAGE(C200:D200)</f>
        <v>17.27</v>
      </c>
      <c r="C200" s="0" t="n">
        <v>17.27</v>
      </c>
    </row>
    <row r="201" customFormat="false" ht="15" hidden="false" customHeight="false" outlineLevel="0" collapsed="false">
      <c r="A201" s="0" t="s">
        <v>252</v>
      </c>
      <c r="B201" s="0" t="n">
        <f aca="false">AVERAGE(C201:D201)</f>
        <v>17.251</v>
      </c>
      <c r="C201" s="0" t="n">
        <v>17.251</v>
      </c>
    </row>
    <row r="202" customFormat="false" ht="15" hidden="false" customHeight="false" outlineLevel="0" collapsed="false">
      <c r="A202" s="0" t="s">
        <v>263</v>
      </c>
      <c r="B202" s="0" t="n">
        <f aca="false">AVERAGE(C202:D202)</f>
        <v>17.201</v>
      </c>
      <c r="C202" s="0" t="n">
        <v>17.201</v>
      </c>
    </row>
    <row r="203" customFormat="false" ht="15" hidden="false" customHeight="false" outlineLevel="0" collapsed="false">
      <c r="A203" s="0" t="s">
        <v>133</v>
      </c>
      <c r="B203" s="0" t="n">
        <f aca="false">AVERAGE(C203:D203)</f>
        <v>17.19</v>
      </c>
      <c r="C203" s="0" t="n">
        <v>17.19</v>
      </c>
    </row>
    <row r="204" customFormat="false" ht="15" hidden="false" customHeight="false" outlineLevel="0" collapsed="false">
      <c r="A204" s="0" t="s">
        <v>227</v>
      </c>
      <c r="B204" s="0" t="n">
        <f aca="false">AVERAGE(C204:D204)</f>
        <v>17.176</v>
      </c>
      <c r="C204" s="0" t="n">
        <v>17.176</v>
      </c>
    </row>
    <row r="205" customFormat="false" ht="15" hidden="false" customHeight="false" outlineLevel="0" collapsed="false">
      <c r="A205" s="0" t="s">
        <v>209</v>
      </c>
      <c r="B205" s="0" t="n">
        <f aca="false">AVERAGE(C205:D205)</f>
        <v>17.052</v>
      </c>
      <c r="C205" s="0" t="n">
        <v>17.052</v>
      </c>
    </row>
    <row r="206" customFormat="false" ht="15" hidden="false" customHeight="false" outlineLevel="0" collapsed="false">
      <c r="A206" s="0" t="s">
        <v>273</v>
      </c>
      <c r="B206" s="0" t="n">
        <f aca="false">AVERAGE(C206:D206)</f>
        <v>16.867</v>
      </c>
      <c r="C206" s="0" t="n">
        <v>16.867</v>
      </c>
    </row>
    <row r="207" customFormat="false" ht="15" hidden="false" customHeight="false" outlineLevel="0" collapsed="false">
      <c r="A207" s="0" t="s">
        <v>149</v>
      </c>
      <c r="B207" s="0" t="n">
        <f aca="false">AVERAGE(C207:D207)</f>
        <v>16.828</v>
      </c>
      <c r="C207" s="0" t="n">
        <v>16.828</v>
      </c>
    </row>
    <row r="208" customFormat="false" ht="15" hidden="false" customHeight="false" outlineLevel="0" collapsed="false">
      <c r="A208" s="0" t="s">
        <v>196</v>
      </c>
      <c r="B208" s="0" t="n">
        <f aca="false">AVERAGE(C208:D208)</f>
        <v>16.711</v>
      </c>
      <c r="C208" s="0" t="n">
        <v>16.711</v>
      </c>
    </row>
    <row r="209" customFormat="false" ht="15" hidden="false" customHeight="false" outlineLevel="0" collapsed="false">
      <c r="A209" s="0" t="s">
        <v>235</v>
      </c>
      <c r="B209" s="0" t="n">
        <f aca="false">AVERAGE(C209:D209)</f>
        <v>16.63</v>
      </c>
      <c r="C209" s="0" t="n">
        <v>16.63</v>
      </c>
    </row>
    <row r="210" customFormat="false" ht="15" hidden="false" customHeight="false" outlineLevel="0" collapsed="false">
      <c r="A210" s="0" t="s">
        <v>256</v>
      </c>
      <c r="B210" s="0" t="n">
        <f aca="false">AVERAGE(C210:D210)</f>
        <v>16.596</v>
      </c>
      <c r="C210" s="0" t="n">
        <v>16.596</v>
      </c>
    </row>
    <row r="211" customFormat="false" ht="15" hidden="false" customHeight="false" outlineLevel="0" collapsed="false">
      <c r="A211" s="0" t="s">
        <v>255</v>
      </c>
      <c r="B211" s="0" t="n">
        <f aca="false">AVERAGE(C211:D211)</f>
        <v>16.419</v>
      </c>
      <c r="C211" s="0" t="n">
        <v>16.419</v>
      </c>
    </row>
    <row r="212" customFormat="false" ht="15" hidden="false" customHeight="false" outlineLevel="0" collapsed="false">
      <c r="A212" s="0" t="s">
        <v>271</v>
      </c>
      <c r="B212" s="0" t="n">
        <f aca="false">AVERAGE(C212:D212)</f>
        <v>16.263</v>
      </c>
      <c r="C212" s="0" t="n">
        <v>16.263</v>
      </c>
    </row>
    <row r="213" customFormat="false" ht="15" hidden="false" customHeight="false" outlineLevel="0" collapsed="false">
      <c r="A213" s="0" t="s">
        <v>141</v>
      </c>
      <c r="B213" s="0" t="n">
        <f aca="false">AVERAGE(C213:D213)</f>
        <v>16.221</v>
      </c>
      <c r="C213" s="0" t="n">
        <v>16.221</v>
      </c>
    </row>
    <row r="214" customFormat="false" ht="15" hidden="false" customHeight="false" outlineLevel="0" collapsed="false">
      <c r="A214" s="0" t="s">
        <v>257</v>
      </c>
      <c r="B214" s="0" t="n">
        <f aca="false">AVERAGE(C214:D214)</f>
        <v>16.033</v>
      </c>
      <c r="C214" s="0" t="n">
        <v>16.033</v>
      </c>
    </row>
    <row r="215" customFormat="false" ht="15" hidden="false" customHeight="false" outlineLevel="0" collapsed="false">
      <c r="A215" s="0" t="s">
        <v>285</v>
      </c>
      <c r="B215" s="0" t="n">
        <f aca="false">AVERAGE(C215:D215)</f>
        <v>15.952</v>
      </c>
      <c r="C215" s="0" t="n">
        <v>15.952</v>
      </c>
    </row>
    <row r="216" customFormat="false" ht="15" hidden="false" customHeight="false" outlineLevel="0" collapsed="false">
      <c r="A216" s="0" t="s">
        <v>201</v>
      </c>
      <c r="B216" s="0" t="n">
        <f aca="false">AVERAGE(C216:D216)</f>
        <v>15.909</v>
      </c>
      <c r="C216" s="0" t="n">
        <v>15.909</v>
      </c>
    </row>
    <row r="217" customFormat="false" ht="15" hidden="false" customHeight="false" outlineLevel="0" collapsed="false">
      <c r="A217" s="0" t="s">
        <v>160</v>
      </c>
      <c r="B217" s="0" t="n">
        <f aca="false">AVERAGE(C217:D217)</f>
        <v>15.473</v>
      </c>
      <c r="C217" s="0" t="n">
        <v>15.473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8" t="s">
        <v>0</v>
      </c>
      <c r="B1" s="5" t="s">
        <v>555</v>
      </c>
      <c r="C1" s="5" t="s">
        <v>556</v>
      </c>
      <c r="D1" s="5" t="s">
        <v>557</v>
      </c>
    </row>
    <row r="2" customFormat="false" ht="15.75" hidden="false" customHeight="true" outlineLevel="0" collapsed="false">
      <c r="A2" s="9" t="s">
        <v>12</v>
      </c>
      <c r="B2" s="5" t="n">
        <v>0</v>
      </c>
    </row>
    <row r="3" customFormat="false" ht="15.75" hidden="false" customHeight="true" outlineLevel="0" collapsed="false">
      <c r="A3" s="9" t="s">
        <v>13</v>
      </c>
    </row>
    <row r="4" customFormat="false" ht="15.75" hidden="false" customHeight="true" outlineLevel="0" collapsed="false">
      <c r="A4" s="9" t="s">
        <v>17</v>
      </c>
    </row>
    <row r="5" customFormat="false" ht="15.75" hidden="false" customHeight="true" outlineLevel="0" collapsed="false">
      <c r="A5" s="9" t="s">
        <v>15</v>
      </c>
    </row>
    <row r="6" customFormat="false" ht="15.75" hidden="false" customHeight="true" outlineLevel="0" collapsed="false">
      <c r="A6" s="9" t="s">
        <v>14</v>
      </c>
    </row>
    <row r="7" customFormat="false" ht="15.75" hidden="false" customHeight="true" outlineLevel="0" collapsed="false">
      <c r="A7" s="9" t="s">
        <v>18</v>
      </c>
    </row>
    <row r="8" customFormat="false" ht="15.75" hidden="false" customHeight="true" outlineLevel="0" collapsed="false">
      <c r="A8" s="9" t="s">
        <v>20</v>
      </c>
    </row>
    <row r="9" customFormat="false" ht="15.75" hidden="false" customHeight="true" outlineLevel="0" collapsed="false">
      <c r="A9" s="9" t="s">
        <v>26</v>
      </c>
    </row>
    <row r="10" customFormat="false" ht="15.75" hidden="false" customHeight="true" outlineLevel="0" collapsed="false">
      <c r="A10" s="9" t="s">
        <v>21</v>
      </c>
    </row>
    <row r="11" customFormat="false" ht="15.75" hidden="false" customHeight="true" outlineLevel="0" collapsed="false">
      <c r="A11" s="9" t="s">
        <v>16</v>
      </c>
    </row>
    <row r="12" customFormat="false" ht="15.75" hidden="false" customHeight="true" outlineLevel="0" collapsed="false">
      <c r="A12" s="9" t="s">
        <v>23</v>
      </c>
    </row>
    <row r="13" customFormat="false" ht="15.75" hidden="false" customHeight="true" outlineLevel="0" collapsed="false">
      <c r="A13" s="9" t="s">
        <v>33</v>
      </c>
    </row>
    <row r="14" customFormat="false" ht="15.75" hidden="false" customHeight="true" outlineLevel="0" collapsed="false">
      <c r="A14" s="9" t="s">
        <v>35</v>
      </c>
    </row>
    <row r="15" customFormat="false" ht="15.75" hidden="false" customHeight="true" outlineLevel="0" collapsed="false">
      <c r="A15" s="9" t="s">
        <v>24</v>
      </c>
    </row>
    <row r="16" customFormat="false" ht="15.75" hidden="false" customHeight="true" outlineLevel="0" collapsed="false">
      <c r="A16" s="9" t="s">
        <v>19</v>
      </c>
    </row>
    <row r="17" customFormat="false" ht="15.75" hidden="false" customHeight="true" outlineLevel="0" collapsed="false">
      <c r="A17" s="9" t="s">
        <v>22</v>
      </c>
    </row>
    <row r="18" customFormat="false" ht="15.75" hidden="false" customHeight="true" outlineLevel="0" collapsed="false">
      <c r="A18" s="9" t="s">
        <v>25</v>
      </c>
    </row>
    <row r="19" customFormat="false" ht="15.75" hidden="false" customHeight="true" outlineLevel="0" collapsed="false">
      <c r="A19" s="9" t="s">
        <v>29</v>
      </c>
    </row>
    <row r="20" customFormat="false" ht="15.75" hidden="false" customHeight="true" outlineLevel="0" collapsed="false">
      <c r="A20" s="9" t="s">
        <v>31</v>
      </c>
    </row>
    <row r="21" customFormat="false" ht="15.75" hidden="false" customHeight="true" outlineLevel="0" collapsed="false">
      <c r="A21" s="9" t="s">
        <v>32</v>
      </c>
    </row>
    <row r="22" customFormat="false" ht="15.75" hidden="false" customHeight="true" outlineLevel="0" collapsed="false">
      <c r="A22" s="9" t="s">
        <v>39</v>
      </c>
    </row>
    <row r="23" customFormat="false" ht="15.75" hidden="false" customHeight="true" outlineLevel="0" collapsed="false">
      <c r="A23" s="9" t="s">
        <v>30</v>
      </c>
    </row>
    <row r="24" customFormat="false" ht="15.75" hidden="false" customHeight="true" outlineLevel="0" collapsed="false">
      <c r="A24" s="9" t="s">
        <v>28</v>
      </c>
    </row>
    <row r="25" customFormat="false" ht="15.75" hidden="false" customHeight="true" outlineLevel="0" collapsed="false">
      <c r="A25" s="9" t="s">
        <v>34</v>
      </c>
    </row>
    <row r="26" customFormat="false" ht="15.75" hidden="false" customHeight="true" outlineLevel="0" collapsed="false">
      <c r="A26" s="9" t="s">
        <v>27</v>
      </c>
    </row>
    <row r="27" customFormat="false" ht="15.75" hidden="false" customHeight="true" outlineLevel="0" collapsed="false">
      <c r="A27" s="9" t="s">
        <v>38</v>
      </c>
    </row>
    <row r="28" customFormat="false" ht="15.75" hidden="false" customHeight="true" outlineLevel="0" collapsed="false">
      <c r="A28" s="9" t="s">
        <v>36</v>
      </c>
    </row>
    <row r="29" customFormat="false" ht="15.75" hidden="false" customHeight="true" outlineLevel="0" collapsed="false">
      <c r="A29" s="9" t="s">
        <v>44</v>
      </c>
    </row>
    <row r="30" customFormat="false" ht="15.75" hidden="false" customHeight="true" outlineLevel="0" collapsed="false">
      <c r="A30" s="9" t="s">
        <v>40</v>
      </c>
    </row>
    <row r="31" customFormat="false" ht="15.75" hidden="false" customHeight="true" outlineLevel="0" collapsed="false">
      <c r="A31" s="9" t="s">
        <v>37</v>
      </c>
    </row>
    <row r="32" customFormat="false" ht="15.75" hidden="false" customHeight="true" outlineLevel="0" collapsed="false">
      <c r="A32" s="9" t="s">
        <v>41</v>
      </c>
    </row>
    <row r="33" customFormat="false" ht="15.75" hidden="false" customHeight="true" outlineLevel="0" collapsed="false">
      <c r="A33" s="9" t="s">
        <v>45</v>
      </c>
    </row>
    <row r="34" customFormat="false" ht="15.75" hidden="false" customHeight="true" outlineLevel="0" collapsed="false">
      <c r="A34" s="9" t="s">
        <v>43</v>
      </c>
    </row>
    <row r="35" customFormat="false" ht="15.75" hidden="false" customHeight="true" outlineLevel="0" collapsed="false">
      <c r="A35" s="9" t="s">
        <v>47</v>
      </c>
    </row>
    <row r="36" customFormat="false" ht="15.75" hidden="false" customHeight="true" outlineLevel="0" collapsed="false">
      <c r="A36" s="9" t="s">
        <v>49</v>
      </c>
    </row>
    <row r="37" customFormat="false" ht="15.75" hidden="false" customHeight="true" outlineLevel="0" collapsed="false">
      <c r="A37" s="9" t="s">
        <v>42</v>
      </c>
    </row>
    <row r="38" customFormat="false" ht="15.75" hidden="false" customHeight="true" outlineLevel="0" collapsed="false">
      <c r="A38" s="9" t="s">
        <v>48</v>
      </c>
    </row>
    <row r="39" customFormat="false" ht="15.75" hidden="false" customHeight="true" outlineLevel="0" collapsed="false">
      <c r="A39" s="9" t="s">
        <v>51</v>
      </c>
    </row>
    <row r="40" customFormat="false" ht="15.75" hidden="false" customHeight="true" outlineLevel="0" collapsed="false">
      <c r="A40" s="9" t="s">
        <v>46</v>
      </c>
    </row>
    <row r="41" customFormat="false" ht="15.75" hidden="false" customHeight="true" outlineLevel="0" collapsed="false">
      <c r="A41" s="9" t="s">
        <v>52</v>
      </c>
    </row>
    <row r="42" customFormat="false" ht="15.75" hidden="false" customHeight="true" outlineLevel="0" collapsed="false">
      <c r="A42" s="9" t="s">
        <v>50</v>
      </c>
    </row>
    <row r="43" customFormat="false" ht="15.75" hidden="false" customHeight="true" outlineLevel="0" collapsed="false">
      <c r="A43" s="9" t="s">
        <v>53</v>
      </c>
    </row>
    <row r="44" customFormat="false" ht="15.75" hidden="false" customHeight="true" outlineLevel="0" collapsed="false">
      <c r="A44" s="9" t="s">
        <v>56</v>
      </c>
    </row>
    <row r="45" customFormat="false" ht="15.75" hidden="false" customHeight="true" outlineLevel="0" collapsed="false">
      <c r="A45" s="9" t="s">
        <v>57</v>
      </c>
    </row>
    <row r="46" customFormat="false" ht="15.75" hidden="false" customHeight="true" outlineLevel="0" collapsed="false">
      <c r="A46" s="9" t="s">
        <v>54</v>
      </c>
    </row>
    <row r="47" customFormat="false" ht="15.75" hidden="false" customHeight="true" outlineLevel="0" collapsed="false">
      <c r="A47" s="9" t="s">
        <v>58</v>
      </c>
    </row>
    <row r="48" customFormat="false" ht="15.75" hidden="false" customHeight="true" outlineLevel="0" collapsed="false">
      <c r="A48" s="9" t="s">
        <v>55</v>
      </c>
    </row>
    <row r="49" customFormat="false" ht="15.75" hidden="false" customHeight="true" outlineLevel="0" collapsed="false">
      <c r="A49" s="9" t="s">
        <v>61</v>
      </c>
    </row>
    <row r="50" customFormat="false" ht="15.75" hidden="false" customHeight="true" outlineLevel="0" collapsed="false">
      <c r="A50" s="9" t="s">
        <v>65</v>
      </c>
    </row>
    <row r="51" customFormat="false" ht="15.75" hidden="false" customHeight="true" outlineLevel="0" collapsed="false">
      <c r="A51" s="9" t="s">
        <v>68</v>
      </c>
    </row>
    <row r="52" customFormat="false" ht="15.75" hidden="false" customHeight="true" outlineLevel="0" collapsed="false">
      <c r="A52" s="9" t="s">
        <v>59</v>
      </c>
    </row>
    <row r="53" customFormat="false" ht="15.75" hidden="false" customHeight="true" outlineLevel="0" collapsed="false">
      <c r="A53" s="9" t="s">
        <v>60</v>
      </c>
    </row>
    <row r="54" customFormat="false" ht="15.75" hidden="false" customHeight="true" outlineLevel="0" collapsed="false">
      <c r="A54" s="9" t="s">
        <v>63</v>
      </c>
    </row>
    <row r="55" customFormat="false" ht="15.75" hidden="false" customHeight="true" outlineLevel="0" collapsed="false">
      <c r="A55" s="9" t="s">
        <v>81</v>
      </c>
    </row>
    <row r="56" customFormat="false" ht="15.75" hidden="false" customHeight="true" outlineLevel="0" collapsed="false">
      <c r="A56" s="9" t="s">
        <v>70</v>
      </c>
    </row>
    <row r="57" customFormat="false" ht="15.75" hidden="false" customHeight="true" outlineLevel="0" collapsed="false">
      <c r="A57" s="9" t="s">
        <v>64</v>
      </c>
    </row>
    <row r="58" customFormat="false" ht="15.75" hidden="false" customHeight="true" outlineLevel="0" collapsed="false">
      <c r="A58" s="9" t="s">
        <v>130</v>
      </c>
    </row>
    <row r="59" customFormat="false" ht="15.75" hidden="false" customHeight="true" outlineLevel="0" collapsed="false">
      <c r="A59" s="9" t="s">
        <v>67</v>
      </c>
    </row>
    <row r="60" customFormat="false" ht="15.75" hidden="false" customHeight="true" outlineLevel="0" collapsed="false">
      <c r="A60" s="9" t="s">
        <v>73</v>
      </c>
    </row>
    <row r="61" customFormat="false" ht="15.75" hidden="false" customHeight="true" outlineLevel="0" collapsed="false">
      <c r="A61" s="9" t="s">
        <v>96</v>
      </c>
    </row>
    <row r="62" customFormat="false" ht="15.75" hidden="false" customHeight="true" outlineLevel="0" collapsed="false">
      <c r="A62" s="9" t="s">
        <v>66</v>
      </c>
    </row>
    <row r="63" customFormat="false" ht="15.75" hidden="false" customHeight="true" outlineLevel="0" collapsed="false">
      <c r="A63" s="9" t="s">
        <v>62</v>
      </c>
    </row>
    <row r="64" customFormat="false" ht="15.75" hidden="false" customHeight="true" outlineLevel="0" collapsed="false">
      <c r="A64" s="9" t="s">
        <v>69</v>
      </c>
    </row>
    <row r="65" customFormat="false" ht="15.75" hidden="false" customHeight="true" outlineLevel="0" collapsed="false">
      <c r="A65" s="9" t="s">
        <v>72</v>
      </c>
    </row>
    <row r="66" customFormat="false" ht="15.75" hidden="false" customHeight="true" outlineLevel="0" collapsed="false">
      <c r="A66" s="9" t="s">
        <v>75</v>
      </c>
    </row>
    <row r="67" customFormat="false" ht="15.75" hidden="false" customHeight="true" outlineLevel="0" collapsed="false">
      <c r="A67" s="9" t="s">
        <v>79</v>
      </c>
    </row>
    <row r="68" customFormat="false" ht="15.75" hidden="false" customHeight="true" outlineLevel="0" collapsed="false">
      <c r="A68" s="9" t="s">
        <v>76</v>
      </c>
    </row>
    <row r="69" customFormat="false" ht="15.75" hidden="false" customHeight="true" outlineLevel="0" collapsed="false">
      <c r="A69" s="9" t="s">
        <v>74</v>
      </c>
    </row>
    <row r="70" customFormat="false" ht="15.75" hidden="false" customHeight="true" outlineLevel="0" collapsed="false">
      <c r="A70" s="9" t="s">
        <v>80</v>
      </c>
    </row>
    <row r="71" customFormat="false" ht="15.75" hidden="false" customHeight="true" outlineLevel="0" collapsed="false">
      <c r="A71" s="9" t="s">
        <v>86</v>
      </c>
    </row>
    <row r="72" customFormat="false" ht="15.75" hidden="false" customHeight="true" outlineLevel="0" collapsed="false">
      <c r="A72" s="9" t="s">
        <v>78</v>
      </c>
    </row>
    <row r="73" customFormat="false" ht="15.75" hidden="false" customHeight="true" outlineLevel="0" collapsed="false">
      <c r="A73" s="9" t="s">
        <v>132</v>
      </c>
    </row>
    <row r="74" customFormat="false" ht="15.75" hidden="false" customHeight="true" outlineLevel="0" collapsed="false">
      <c r="A74" s="9" t="s">
        <v>77</v>
      </c>
    </row>
    <row r="75" customFormat="false" ht="15.75" hidden="false" customHeight="true" outlineLevel="0" collapsed="false">
      <c r="A75" s="9" t="s">
        <v>71</v>
      </c>
    </row>
    <row r="76" customFormat="false" ht="15.75" hidden="false" customHeight="true" outlineLevel="0" collapsed="false">
      <c r="A76" s="9" t="s">
        <v>84</v>
      </c>
    </row>
    <row r="77" customFormat="false" ht="15.75" hidden="false" customHeight="true" outlineLevel="0" collapsed="false">
      <c r="A77" s="9" t="s">
        <v>85</v>
      </c>
    </row>
    <row r="78" customFormat="false" ht="15.75" hidden="false" customHeight="true" outlineLevel="0" collapsed="false">
      <c r="A78" s="9" t="s">
        <v>83</v>
      </c>
    </row>
    <row r="79" customFormat="false" ht="15.75" hidden="false" customHeight="true" outlineLevel="0" collapsed="false">
      <c r="A79" s="9" t="s">
        <v>91</v>
      </c>
    </row>
    <row r="80" customFormat="false" ht="15.75" hidden="false" customHeight="true" outlineLevel="0" collapsed="false">
      <c r="A80" s="9" t="s">
        <v>88</v>
      </c>
    </row>
    <row r="81" customFormat="false" ht="15.75" hidden="false" customHeight="true" outlineLevel="0" collapsed="false">
      <c r="A81" s="9" t="s">
        <v>92</v>
      </c>
    </row>
    <row r="82" customFormat="false" ht="15.75" hidden="false" customHeight="true" outlineLevel="0" collapsed="false">
      <c r="A82" s="9" t="s">
        <v>90</v>
      </c>
    </row>
    <row r="83" customFormat="false" ht="15.75" hidden="false" customHeight="true" outlineLevel="0" collapsed="false">
      <c r="A83" s="9" t="s">
        <v>94</v>
      </c>
    </row>
    <row r="84" customFormat="false" ht="15.75" hidden="false" customHeight="true" outlineLevel="0" collapsed="false">
      <c r="A84" s="9" t="s">
        <v>89</v>
      </c>
    </row>
    <row r="85" customFormat="false" ht="15.75" hidden="false" customHeight="true" outlineLevel="0" collapsed="false">
      <c r="A85" s="9" t="s">
        <v>95</v>
      </c>
    </row>
    <row r="86" customFormat="false" ht="15.75" hidden="false" customHeight="true" outlineLevel="0" collapsed="false">
      <c r="A86" s="9" t="s">
        <v>97</v>
      </c>
    </row>
    <row r="87" customFormat="false" ht="15.75" hidden="false" customHeight="true" outlineLevel="0" collapsed="false">
      <c r="A87" s="9" t="s">
        <v>87</v>
      </c>
    </row>
    <row r="88" customFormat="false" ht="15.75" hidden="false" customHeight="true" outlineLevel="0" collapsed="false">
      <c r="A88" s="9" t="s">
        <v>82</v>
      </c>
    </row>
    <row r="89" customFormat="false" ht="15.75" hidden="false" customHeight="true" outlineLevel="0" collapsed="false">
      <c r="A89" s="9" t="s">
        <v>93</v>
      </c>
    </row>
    <row r="90" customFormat="false" ht="15.75" hidden="false" customHeight="true" outlineLevel="0" collapsed="false">
      <c r="A90" s="9" t="s">
        <v>154</v>
      </c>
    </row>
    <row r="91" customFormat="false" ht="15.75" hidden="false" customHeight="true" outlineLevel="0" collapsed="false">
      <c r="A91" s="9" t="s">
        <v>102</v>
      </c>
    </row>
    <row r="92" customFormat="false" ht="15.75" hidden="false" customHeight="true" outlineLevel="0" collapsed="false">
      <c r="A92" s="9" t="s">
        <v>99</v>
      </c>
    </row>
    <row r="93" customFormat="false" ht="15.75" hidden="false" customHeight="true" outlineLevel="0" collapsed="false">
      <c r="A93" s="9" t="s">
        <v>163</v>
      </c>
    </row>
    <row r="94" customFormat="false" ht="15.75" hidden="false" customHeight="true" outlineLevel="0" collapsed="false">
      <c r="A94" s="9" t="s">
        <v>105</v>
      </c>
    </row>
    <row r="95" customFormat="false" ht="15.75" hidden="false" customHeight="true" outlineLevel="0" collapsed="false">
      <c r="A95" s="9" t="s">
        <v>101</v>
      </c>
    </row>
    <row r="96" customFormat="false" ht="15.75" hidden="false" customHeight="true" outlineLevel="0" collapsed="false">
      <c r="A96" s="9" t="s">
        <v>100</v>
      </c>
    </row>
    <row r="97" customFormat="false" ht="15.75" hidden="false" customHeight="true" outlineLevel="0" collapsed="false">
      <c r="A97" s="9" t="s">
        <v>103</v>
      </c>
    </row>
    <row r="98" customFormat="false" ht="15.75" hidden="false" customHeight="true" outlineLevel="0" collapsed="false">
      <c r="A98" s="9" t="s">
        <v>107</v>
      </c>
    </row>
    <row r="99" customFormat="false" ht="15.75" hidden="false" customHeight="true" outlineLevel="0" collapsed="false">
      <c r="A99" s="9" t="s">
        <v>106</v>
      </c>
    </row>
    <row r="100" customFormat="false" ht="15.75" hidden="false" customHeight="true" outlineLevel="0" collapsed="false">
      <c r="A100" s="9" t="s">
        <v>108</v>
      </c>
    </row>
    <row r="101" customFormat="false" ht="15.75" hidden="false" customHeight="true" outlineLevel="0" collapsed="false">
      <c r="A101" s="9" t="s">
        <v>110</v>
      </c>
    </row>
    <row r="102" customFormat="false" ht="15.75" hidden="false" customHeight="true" outlineLevel="0" collapsed="false">
      <c r="A102" s="9" t="s">
        <v>109</v>
      </c>
    </row>
    <row r="103" customFormat="false" ht="15.75" hidden="false" customHeight="true" outlineLevel="0" collapsed="false">
      <c r="A103" s="9" t="s">
        <v>148</v>
      </c>
    </row>
    <row r="104" customFormat="false" ht="15.75" hidden="false" customHeight="true" outlineLevel="0" collapsed="false">
      <c r="A104" s="9" t="s">
        <v>111</v>
      </c>
    </row>
    <row r="105" customFormat="false" ht="15.75" hidden="false" customHeight="true" outlineLevel="0" collapsed="false">
      <c r="A105" s="9" t="s">
        <v>157</v>
      </c>
    </row>
    <row r="106" customFormat="false" ht="15.75" hidden="false" customHeight="true" outlineLevel="0" collapsed="false">
      <c r="A106" s="9" t="s">
        <v>112</v>
      </c>
    </row>
    <row r="107" customFormat="false" ht="15.75" hidden="false" customHeight="true" outlineLevel="0" collapsed="false">
      <c r="A107" s="9" t="s">
        <v>160</v>
      </c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0.78"/>
    <col collapsed="false" customWidth="true" hidden="false" outlineLevel="0" max="26" min="3" style="1" width="10.56"/>
  </cols>
  <sheetData>
    <row r="1" customFormat="false" ht="15.75" hidden="false" customHeight="true" outlineLevel="0" collapsed="false">
      <c r="A1" s="2" t="s">
        <v>0</v>
      </c>
      <c r="B1" s="2" t="s">
        <v>558</v>
      </c>
      <c r="C1" s="2" t="s">
        <v>559</v>
      </c>
      <c r="E1" s="2" t="s">
        <v>0</v>
      </c>
      <c r="F1" s="2" t="s">
        <v>560</v>
      </c>
      <c r="G1" s="3" t="s">
        <v>561</v>
      </c>
    </row>
    <row r="2" customFormat="false" ht="15.75" hidden="false" customHeight="true" outlineLevel="0" collapsed="false">
      <c r="A2" s="1" t="s">
        <v>114</v>
      </c>
      <c r="B2" s="1" t="n">
        <v>122.1</v>
      </c>
      <c r="C2" s="1" t="e">
        <f aca="false">VLOOKUP(A2, Salary!A:B, 2, FALSE())</f>
        <v>#N/A</v>
      </c>
      <c r="E2" s="1" t="s">
        <v>205</v>
      </c>
      <c r="F2" s="1" t="n">
        <v>75.4</v>
      </c>
    </row>
    <row r="3" customFormat="false" ht="15.75" hidden="false" customHeight="true" outlineLevel="0" collapsed="false">
      <c r="A3" s="1" t="s">
        <v>115</v>
      </c>
      <c r="B3" s="1" t="n">
        <v>99</v>
      </c>
      <c r="C3" s="1" t="e">
        <f aca="false">VLOOKUP(A3, Salary!A:B, 2, FALSE())</f>
        <v>#N/A</v>
      </c>
      <c r="E3" s="1" t="s">
        <v>12</v>
      </c>
      <c r="F3" s="1" t="n">
        <v>74.8</v>
      </c>
    </row>
    <row r="4" customFormat="false" ht="15.75" hidden="false" customHeight="true" outlineLevel="0" collapsed="false">
      <c r="A4" s="1" t="s">
        <v>12</v>
      </c>
      <c r="B4" s="1" t="n">
        <v>81.5</v>
      </c>
      <c r="C4" s="1" t="n">
        <f aca="false">VLOOKUP(A4, Salary!A:B, 2, FALSE())</f>
        <v>7112.01</v>
      </c>
      <c r="E4" s="1" t="s">
        <v>15</v>
      </c>
      <c r="F4" s="1" t="n">
        <v>73.7</v>
      </c>
    </row>
    <row r="5" customFormat="false" ht="15.75" hidden="false" customHeight="true" outlineLevel="0" collapsed="false">
      <c r="A5" s="1" t="s">
        <v>15</v>
      </c>
      <c r="B5" s="1" t="n">
        <v>80.5</v>
      </c>
      <c r="C5" s="1" t="n">
        <f aca="false">VLOOKUP(A5, Salary!A:B, 2, FALSE())</f>
        <v>4469.53</v>
      </c>
      <c r="E5" s="1" t="s">
        <v>116</v>
      </c>
      <c r="F5" s="1" t="n">
        <v>66.1</v>
      </c>
    </row>
    <row r="6" customFormat="false" ht="15.75" hidden="false" customHeight="true" outlineLevel="0" collapsed="false">
      <c r="A6" s="1" t="s">
        <v>116</v>
      </c>
      <c r="B6" s="1" t="n">
        <v>77.2</v>
      </c>
      <c r="C6" s="1" t="e">
        <f aca="false">VLOOKUP(A6, Salary!A:B, 2, FALSE())</f>
        <v>#N/A</v>
      </c>
      <c r="E6" s="1" t="s">
        <v>14</v>
      </c>
      <c r="F6" s="1" t="n">
        <v>65.9</v>
      </c>
    </row>
    <row r="7" customFormat="false" ht="15.75" hidden="false" customHeight="true" outlineLevel="0" collapsed="false">
      <c r="A7" s="1" t="s">
        <v>14</v>
      </c>
      <c r="B7" s="1" t="n">
        <v>74.8</v>
      </c>
      <c r="C7" s="1" t="n">
        <f aca="false">VLOOKUP(A7, Salary!A:B, 2, FALSE())</f>
        <v>4742.72</v>
      </c>
      <c r="E7" s="1" t="s">
        <v>26</v>
      </c>
      <c r="F7" s="1" t="n">
        <v>65.7</v>
      </c>
    </row>
    <row r="8" customFormat="false" ht="15.75" hidden="false" customHeight="true" outlineLevel="0" collapsed="false">
      <c r="A8" s="1" t="s">
        <v>117</v>
      </c>
      <c r="B8" s="1" t="n">
        <v>71.6</v>
      </c>
      <c r="C8" s="1" t="e">
        <f aca="false">VLOOKUP(A8, Salary!A:B, 2, FALSE())</f>
        <v>#N/A</v>
      </c>
      <c r="E8" s="1" t="s">
        <v>120</v>
      </c>
      <c r="F8" s="1" t="n">
        <v>57.1</v>
      </c>
    </row>
    <row r="9" customFormat="false" ht="15.75" hidden="false" customHeight="true" outlineLevel="0" collapsed="false">
      <c r="A9" s="1" t="s">
        <v>26</v>
      </c>
      <c r="B9" s="1" t="n">
        <v>68.5</v>
      </c>
      <c r="C9" s="1" t="n">
        <f aca="false">VLOOKUP(A9, Salary!A:B, 2, FALSE())</f>
        <v>3266.5</v>
      </c>
      <c r="E9" s="1" t="s">
        <v>13</v>
      </c>
      <c r="F9" s="1" t="n">
        <v>54.8</v>
      </c>
    </row>
    <row r="10" customFormat="false" ht="15.75" hidden="false" customHeight="true" outlineLevel="0" collapsed="false">
      <c r="A10" s="1" t="s">
        <v>118</v>
      </c>
      <c r="B10" s="1" t="n">
        <v>66.1</v>
      </c>
      <c r="C10" s="1" t="e">
        <f aca="false">VLOOKUP(A10, Salary!A:B, 2, FALSE())</f>
        <v>#N/A</v>
      </c>
      <c r="E10" s="1" t="s">
        <v>17</v>
      </c>
      <c r="F10" s="1" t="n">
        <v>54.3</v>
      </c>
    </row>
    <row r="11" customFormat="false" ht="15.75" hidden="false" customHeight="true" outlineLevel="0" collapsed="false">
      <c r="A11" s="1" t="s">
        <v>119</v>
      </c>
      <c r="B11" s="1" t="n">
        <v>65.7</v>
      </c>
      <c r="C11" s="1" t="e">
        <f aca="false">VLOOKUP(A11, Salary!A:B, 2, FALSE())</f>
        <v>#N/A</v>
      </c>
      <c r="E11" s="1" t="s">
        <v>128</v>
      </c>
      <c r="F11" s="1" t="n">
        <v>53.7</v>
      </c>
    </row>
    <row r="12" customFormat="false" ht="15.75" hidden="false" customHeight="true" outlineLevel="0" collapsed="false">
      <c r="A12" s="1" t="s">
        <v>22</v>
      </c>
      <c r="B12" s="1" t="n">
        <v>64.8</v>
      </c>
      <c r="C12" s="1" t="n">
        <f aca="false">VLOOKUP(A12, Salary!A:B, 2, FALSE())</f>
        <v>3678.8</v>
      </c>
      <c r="E12" s="1" t="s">
        <v>24</v>
      </c>
      <c r="F12" s="1" t="n">
        <v>50.6</v>
      </c>
    </row>
    <row r="13" customFormat="false" ht="15.75" hidden="false" customHeight="true" outlineLevel="0" collapsed="false">
      <c r="A13" s="1" t="s">
        <v>120</v>
      </c>
      <c r="B13" s="1" t="n">
        <v>64.5</v>
      </c>
      <c r="C13" s="1" t="e">
        <f aca="false">VLOOKUP(A13, Salary!A:B, 2, FALSE())</f>
        <v>#N/A</v>
      </c>
      <c r="E13" s="1" t="s">
        <v>16</v>
      </c>
      <c r="F13" s="1" t="n">
        <v>49.4</v>
      </c>
    </row>
    <row r="14" customFormat="false" ht="15.75" hidden="false" customHeight="true" outlineLevel="0" collapsed="false">
      <c r="A14" s="1" t="s">
        <v>13</v>
      </c>
      <c r="B14" s="1" t="n">
        <v>64.2</v>
      </c>
      <c r="C14" s="1" t="n">
        <f aca="false">VLOOKUP(A14, Salary!A:B, 2, FALSE())</f>
        <v>5462.17</v>
      </c>
      <c r="E14" s="1" t="s">
        <v>18</v>
      </c>
      <c r="F14" s="1" t="n">
        <v>48.6</v>
      </c>
    </row>
    <row r="15" customFormat="false" ht="15.75" hidden="false" customHeight="true" outlineLevel="0" collapsed="false">
      <c r="A15" s="1" t="s">
        <v>121</v>
      </c>
      <c r="B15" s="1" t="n">
        <v>61.8</v>
      </c>
      <c r="C15" s="1" t="e">
        <f aca="false">VLOOKUP(A15, Salary!A:B, 2, FALSE())</f>
        <v>#N/A</v>
      </c>
      <c r="E15" s="1" t="s">
        <v>22</v>
      </c>
      <c r="F15" s="1" t="n">
        <v>48.3</v>
      </c>
    </row>
    <row r="16" customFormat="false" ht="15.75" hidden="false" customHeight="true" outlineLevel="0" collapsed="false">
      <c r="A16" s="1" t="s">
        <v>16</v>
      </c>
      <c r="B16" s="1" t="n">
        <v>59.3</v>
      </c>
      <c r="C16" s="1" t="n">
        <f aca="false">VLOOKUP(A16, Salary!A:B, 2, FALSE())</f>
        <v>4401.35</v>
      </c>
      <c r="E16" s="1" t="s">
        <v>190</v>
      </c>
      <c r="F16" s="1" t="n">
        <v>47.9</v>
      </c>
    </row>
    <row r="17" customFormat="false" ht="15.75" hidden="false" customHeight="true" outlineLevel="0" collapsed="false">
      <c r="A17" s="1" t="s">
        <v>24</v>
      </c>
      <c r="B17" s="1" t="n">
        <v>57.4</v>
      </c>
      <c r="C17" s="1" t="n">
        <f aca="false">VLOOKUP(A17, Salary!A:B, 2, FALSE())</f>
        <v>3415.69</v>
      </c>
      <c r="E17" s="1" t="s">
        <v>21</v>
      </c>
      <c r="F17" s="1" t="n">
        <v>47.9</v>
      </c>
    </row>
    <row r="18" customFormat="false" ht="15.75" hidden="false" customHeight="true" outlineLevel="0" collapsed="false">
      <c r="A18" s="1" t="s">
        <v>122</v>
      </c>
      <c r="B18" s="1" t="n">
        <v>56.8</v>
      </c>
      <c r="C18" s="1" t="e">
        <f aca="false">VLOOKUP(A18, Salary!A:B, 2, FALSE())</f>
        <v>#N/A</v>
      </c>
      <c r="E18" s="1" t="s">
        <v>33</v>
      </c>
      <c r="F18" s="1" t="n">
        <v>47.8</v>
      </c>
    </row>
    <row r="19" customFormat="false" ht="15.75" hidden="false" customHeight="true" outlineLevel="0" collapsed="false">
      <c r="A19" s="1" t="s">
        <v>21</v>
      </c>
      <c r="B19" s="1" t="n">
        <v>56</v>
      </c>
      <c r="C19" s="1" t="n">
        <f aca="false">VLOOKUP(A19, Salary!A:B, 2, FALSE())</f>
        <v>3787.83</v>
      </c>
      <c r="E19" s="1" t="s">
        <v>20</v>
      </c>
      <c r="F19" s="1" t="n">
        <v>47.1</v>
      </c>
    </row>
    <row r="20" customFormat="false" ht="15.75" hidden="false" customHeight="true" outlineLevel="0" collapsed="false">
      <c r="A20" s="1" t="s">
        <v>18</v>
      </c>
      <c r="B20" s="1" t="n">
        <v>54.8</v>
      </c>
      <c r="C20" s="1" t="n">
        <f aca="false">VLOOKUP(A20, Salary!A:B, 2, FALSE())</f>
        <v>4109.82</v>
      </c>
      <c r="E20" s="1" t="s">
        <v>23</v>
      </c>
      <c r="F20" s="1" t="n">
        <v>46.3</v>
      </c>
    </row>
    <row r="21" customFormat="false" ht="15.75" hidden="false" customHeight="true" outlineLevel="0" collapsed="false">
      <c r="A21" s="1" t="s">
        <v>17</v>
      </c>
      <c r="B21" s="1" t="n">
        <v>54.8</v>
      </c>
      <c r="C21" s="1" t="n">
        <f aca="false">VLOOKUP(A21, Salary!A:B, 2, FALSE())</f>
        <v>4307.38</v>
      </c>
      <c r="E21" s="1" t="s">
        <v>31</v>
      </c>
      <c r="F21" s="1" t="n">
        <v>46.1</v>
      </c>
    </row>
    <row r="22" customFormat="false" ht="15.75" hidden="false" customHeight="true" outlineLevel="0" collapsed="false">
      <c r="A22" s="1" t="s">
        <v>20</v>
      </c>
      <c r="B22" s="1" t="n">
        <v>53.9</v>
      </c>
      <c r="C22" s="1" t="n">
        <f aca="false">VLOOKUP(A22, Salary!A:B, 2, FALSE())</f>
        <v>3984.31</v>
      </c>
      <c r="E22" s="1" t="s">
        <v>124</v>
      </c>
      <c r="F22" s="1" t="n">
        <v>44.6</v>
      </c>
    </row>
    <row r="23" customFormat="false" ht="15.75" hidden="false" customHeight="true" outlineLevel="0" collapsed="false">
      <c r="A23" s="1" t="s">
        <v>23</v>
      </c>
      <c r="B23" s="1" t="n">
        <v>50.8</v>
      </c>
      <c r="C23" s="1" t="n">
        <f aca="false">VLOOKUP(A23, Salary!A:B, 2, FALSE())</f>
        <v>3528.19</v>
      </c>
      <c r="E23" s="1" t="s">
        <v>28</v>
      </c>
      <c r="F23" s="1" t="n">
        <v>43.6</v>
      </c>
    </row>
    <row r="24" customFormat="false" ht="15.75" hidden="false" customHeight="true" outlineLevel="0" collapsed="false">
      <c r="A24" s="1" t="s">
        <v>28</v>
      </c>
      <c r="B24" s="1" t="n">
        <v>49.3</v>
      </c>
      <c r="C24" s="1" t="n">
        <f aca="false">VLOOKUP(A24, Salary!A:B, 2, FALSE())</f>
        <v>3045.67</v>
      </c>
      <c r="E24" s="1" t="s">
        <v>25</v>
      </c>
      <c r="F24" s="1" t="n">
        <v>42.4</v>
      </c>
    </row>
    <row r="25" customFormat="false" ht="15.75" hidden="false" customHeight="true" outlineLevel="0" collapsed="false">
      <c r="A25" s="1" t="s">
        <v>123</v>
      </c>
      <c r="B25" s="1" t="n">
        <v>49</v>
      </c>
      <c r="C25" s="1" t="e">
        <f aca="false">VLOOKUP(A25, Salary!A:B, 2, FALSE())</f>
        <v>#N/A</v>
      </c>
      <c r="E25" s="1" t="s">
        <v>19</v>
      </c>
      <c r="F25" s="1" t="n">
        <v>41.7</v>
      </c>
    </row>
    <row r="26" customFormat="false" ht="15.75" hidden="false" customHeight="true" outlineLevel="0" collapsed="false">
      <c r="A26" s="1" t="s">
        <v>30</v>
      </c>
      <c r="B26" s="1" t="n">
        <v>47.2</v>
      </c>
      <c r="C26" s="1" t="n">
        <f aca="false">VLOOKUP(A26, Salary!A:B, 2, FALSE())</f>
        <v>3036.61</v>
      </c>
      <c r="E26" s="1" t="s">
        <v>36</v>
      </c>
      <c r="F26" s="1" t="n">
        <v>41.5</v>
      </c>
    </row>
    <row r="27" customFormat="false" ht="15.75" hidden="false" customHeight="true" outlineLevel="0" collapsed="false">
      <c r="A27" s="1" t="s">
        <v>124</v>
      </c>
      <c r="B27" s="1" t="n">
        <v>47.2</v>
      </c>
      <c r="C27" s="1" t="e">
        <f aca="false">VLOOKUP(A27, Salary!A:B, 2, FALSE())</f>
        <v>#N/A</v>
      </c>
      <c r="E27" s="1" t="s">
        <v>35</v>
      </c>
      <c r="F27" s="1" t="n">
        <v>41.2</v>
      </c>
    </row>
    <row r="28" customFormat="false" ht="15.75" hidden="false" customHeight="true" outlineLevel="0" collapsed="false">
      <c r="A28" s="1" t="s">
        <v>25</v>
      </c>
      <c r="B28" s="1" t="n">
        <v>47</v>
      </c>
      <c r="C28" s="1" t="n">
        <f aca="false">VLOOKUP(A28, Salary!A:B, 2, FALSE())</f>
        <v>3277.64</v>
      </c>
      <c r="E28" s="1" t="s">
        <v>32</v>
      </c>
      <c r="F28" s="1" t="n">
        <v>41.1</v>
      </c>
    </row>
    <row r="29" customFormat="false" ht="15.75" hidden="false" customHeight="true" outlineLevel="0" collapsed="false">
      <c r="A29" s="1" t="s">
        <v>33</v>
      </c>
      <c r="B29" s="1" t="n">
        <v>46.8</v>
      </c>
      <c r="C29" s="1" t="n">
        <f aca="false">VLOOKUP(A29, Salary!A:B, 2, FALSE())</f>
        <v>2884.99</v>
      </c>
      <c r="E29" s="1" t="s">
        <v>34</v>
      </c>
      <c r="F29" s="1" t="n">
        <v>41</v>
      </c>
    </row>
    <row r="30" customFormat="false" ht="15.75" hidden="false" customHeight="true" outlineLevel="0" collapsed="false">
      <c r="A30" s="1" t="s">
        <v>31</v>
      </c>
      <c r="B30" s="1" t="n">
        <v>46.6</v>
      </c>
      <c r="C30" s="1" t="n">
        <f aca="false">VLOOKUP(A30, Salary!A:B, 2, FALSE())</f>
        <v>3012.57</v>
      </c>
      <c r="E30" s="1" t="s">
        <v>30</v>
      </c>
      <c r="F30" s="1" t="n">
        <v>40.1</v>
      </c>
    </row>
    <row r="31" customFormat="false" ht="15.75" hidden="false" customHeight="true" outlineLevel="0" collapsed="false">
      <c r="A31" s="1" t="s">
        <v>32</v>
      </c>
      <c r="B31" s="1" t="n">
        <v>46.3</v>
      </c>
      <c r="C31" s="1" t="n">
        <f aca="false">VLOOKUP(A31, Salary!A:B, 2, FALSE())</f>
        <v>2982.15</v>
      </c>
      <c r="E31" s="1" t="s">
        <v>29</v>
      </c>
      <c r="F31" s="1" t="n">
        <v>38.7</v>
      </c>
    </row>
    <row r="32" customFormat="false" ht="15.75" hidden="false" customHeight="true" outlineLevel="0" collapsed="false">
      <c r="A32" s="1" t="s">
        <v>36</v>
      </c>
      <c r="B32" s="1" t="n">
        <v>45.8</v>
      </c>
      <c r="C32" s="1" t="n">
        <f aca="false">VLOOKUP(A32, Salary!A:B, 2, FALSE())</f>
        <v>2777.74</v>
      </c>
      <c r="E32" s="1" t="s">
        <v>38</v>
      </c>
      <c r="F32" s="1" t="n">
        <v>38.2</v>
      </c>
    </row>
    <row r="33" customFormat="false" ht="15.75" hidden="false" customHeight="true" outlineLevel="0" collapsed="false">
      <c r="A33" s="1" t="s">
        <v>34</v>
      </c>
      <c r="B33" s="1" t="n">
        <v>45.7</v>
      </c>
      <c r="C33" s="1" t="n">
        <f aca="false">VLOOKUP(A33, Salary!A:B, 2, FALSE())</f>
        <v>2848.9</v>
      </c>
      <c r="E33" s="1" t="s">
        <v>45</v>
      </c>
      <c r="F33" s="1" t="n">
        <v>38.2</v>
      </c>
    </row>
    <row r="34" customFormat="false" ht="15.75" hidden="false" customHeight="true" outlineLevel="0" collapsed="false">
      <c r="A34" s="1" t="s">
        <v>29</v>
      </c>
      <c r="B34" s="1" t="n">
        <v>44.7</v>
      </c>
      <c r="C34" s="1" t="n">
        <f aca="false">VLOOKUP(A34, Salary!A:B, 2, FALSE())</f>
        <v>3042.85</v>
      </c>
      <c r="E34" s="1" t="s">
        <v>46</v>
      </c>
      <c r="F34" s="1" t="n">
        <v>37.1</v>
      </c>
    </row>
    <row r="35" customFormat="false" ht="15.75" hidden="false" customHeight="true" outlineLevel="0" collapsed="false">
      <c r="A35" s="1" t="s">
        <v>19</v>
      </c>
      <c r="B35" s="1" t="n">
        <v>44.1</v>
      </c>
      <c r="C35" s="1" t="n">
        <f aca="false">VLOOKUP(A35, Salary!A:B, 2, FALSE())</f>
        <v>4090.05</v>
      </c>
      <c r="E35" s="1" t="s">
        <v>43</v>
      </c>
      <c r="F35" s="1" t="n">
        <v>36.3</v>
      </c>
    </row>
    <row r="36" customFormat="false" ht="15.75" hidden="false" customHeight="true" outlineLevel="0" collapsed="false">
      <c r="A36" s="1" t="s">
        <v>35</v>
      </c>
      <c r="B36" s="1" t="n">
        <v>43.9</v>
      </c>
      <c r="C36" s="1" t="n">
        <f aca="false">VLOOKUP(A36, Salary!A:B, 2, FALSE())</f>
        <v>2795.09</v>
      </c>
      <c r="E36" s="1" t="s">
        <v>63</v>
      </c>
      <c r="F36" s="1" t="n">
        <v>36.1</v>
      </c>
    </row>
    <row r="37" customFormat="false" ht="15.75" hidden="false" customHeight="true" outlineLevel="0" collapsed="false">
      <c r="A37" s="1" t="s">
        <v>46</v>
      </c>
      <c r="B37" s="1" t="n">
        <v>43.3</v>
      </c>
      <c r="C37" s="1" t="n">
        <f aca="false">VLOOKUP(A37, Salary!A:B, 2, FALSE())</f>
        <v>1773.1</v>
      </c>
      <c r="E37" s="1" t="s">
        <v>39</v>
      </c>
      <c r="F37" s="1" t="n">
        <v>36</v>
      </c>
    </row>
    <row r="38" customFormat="false" ht="15.75" hidden="false" customHeight="true" outlineLevel="0" collapsed="false">
      <c r="A38" s="1" t="s">
        <v>45</v>
      </c>
      <c r="B38" s="1" t="n">
        <v>42.4</v>
      </c>
      <c r="C38" s="1" t="n">
        <f aca="false">VLOOKUP(A38, Salary!A:B, 2, FALSE())</f>
        <v>1877.58</v>
      </c>
      <c r="E38" s="1" t="s">
        <v>126</v>
      </c>
      <c r="F38" s="1" t="n">
        <v>35.9</v>
      </c>
    </row>
    <row r="39" customFormat="false" ht="15.75" hidden="false" customHeight="true" outlineLevel="0" collapsed="false">
      <c r="A39" s="1" t="s">
        <v>43</v>
      </c>
      <c r="B39" s="1" t="n">
        <v>41.9</v>
      </c>
      <c r="C39" s="1" t="n">
        <f aca="false">VLOOKUP(A39, Salary!A:B, 2, FALSE())</f>
        <v>1922.14</v>
      </c>
      <c r="E39" s="1" t="s">
        <v>129</v>
      </c>
      <c r="F39" s="1" t="n">
        <v>35</v>
      </c>
    </row>
    <row r="40" customFormat="false" ht="15.75" hidden="false" customHeight="true" outlineLevel="0" collapsed="false">
      <c r="A40" s="1" t="s">
        <v>125</v>
      </c>
      <c r="B40" s="1" t="n">
        <v>41.2</v>
      </c>
      <c r="C40" s="1" t="e">
        <f aca="false">VLOOKUP(A40, Salary!A:B, 2, FALSE())</f>
        <v>#N/A</v>
      </c>
      <c r="E40" s="1" t="s">
        <v>70</v>
      </c>
      <c r="F40" s="1" t="n">
        <v>34.4</v>
      </c>
    </row>
    <row r="41" customFormat="false" ht="15.75" hidden="false" customHeight="true" outlineLevel="0" collapsed="false">
      <c r="A41" s="1" t="s">
        <v>63</v>
      </c>
      <c r="B41" s="1" t="n">
        <v>40.5</v>
      </c>
      <c r="C41" s="1" t="n">
        <f aca="false">VLOOKUP(A41, Salary!A:B, 2, FALSE())</f>
        <v>1056.76</v>
      </c>
      <c r="E41" s="1" t="s">
        <v>49</v>
      </c>
      <c r="F41" s="1" t="n">
        <v>34.1</v>
      </c>
    </row>
    <row r="42" customFormat="false" ht="15.75" hidden="false" customHeight="true" outlineLevel="0" collapsed="false">
      <c r="A42" s="1" t="s">
        <v>126</v>
      </c>
      <c r="B42" s="1" t="n">
        <v>40</v>
      </c>
      <c r="C42" s="1" t="e">
        <f aca="false">VLOOKUP(A42, Salary!A:B, 2, FALSE())</f>
        <v>#N/A</v>
      </c>
      <c r="E42" s="1" t="s">
        <v>42</v>
      </c>
      <c r="F42" s="1" t="n">
        <v>33.8</v>
      </c>
    </row>
    <row r="43" customFormat="false" ht="15.75" hidden="false" customHeight="true" outlineLevel="0" collapsed="false">
      <c r="A43" s="1" t="s">
        <v>127</v>
      </c>
      <c r="B43" s="1" t="n">
        <v>39.9</v>
      </c>
      <c r="C43" s="1" t="e">
        <f aca="false">VLOOKUP(A43, Salary!A:B, 2, FALSE())</f>
        <v>#N/A</v>
      </c>
      <c r="E43" s="1" t="s">
        <v>41</v>
      </c>
      <c r="F43" s="1" t="n">
        <v>33.6</v>
      </c>
    </row>
    <row r="44" customFormat="false" ht="15.75" hidden="false" customHeight="true" outlineLevel="0" collapsed="false">
      <c r="A44" s="1" t="s">
        <v>42</v>
      </c>
      <c r="B44" s="1" t="n">
        <v>39.2</v>
      </c>
      <c r="C44" s="1" t="n">
        <f aca="false">VLOOKUP(A44, Salary!A:B, 2, FALSE())</f>
        <v>1925.39</v>
      </c>
      <c r="E44" s="1" t="s">
        <v>130</v>
      </c>
      <c r="F44" s="1" t="n">
        <v>33.3</v>
      </c>
    </row>
    <row r="45" customFormat="false" ht="15.75" hidden="false" customHeight="true" outlineLevel="0" collapsed="false">
      <c r="A45" s="1" t="s">
        <v>128</v>
      </c>
      <c r="B45" s="1" t="n">
        <v>38.7</v>
      </c>
      <c r="C45" s="1" t="e">
        <f aca="false">VLOOKUP(A45, Salary!A:B, 2, FALSE())</f>
        <v>#N/A</v>
      </c>
      <c r="E45" s="1" t="s">
        <v>54</v>
      </c>
      <c r="F45" s="1" t="n">
        <v>32.8</v>
      </c>
    </row>
    <row r="46" customFormat="false" ht="15.75" hidden="false" customHeight="true" outlineLevel="0" collapsed="false">
      <c r="A46" s="1" t="s">
        <v>41</v>
      </c>
      <c r="B46" s="1" t="n">
        <v>38.1</v>
      </c>
      <c r="C46" s="1" t="n">
        <f aca="false">VLOOKUP(A46, Salary!A:B, 2, FALSE())</f>
        <v>1971.53</v>
      </c>
      <c r="E46" s="1" t="s">
        <v>27</v>
      </c>
      <c r="F46" s="1" t="n">
        <v>32.2</v>
      </c>
    </row>
    <row r="47" customFormat="false" ht="15.75" hidden="false" customHeight="true" outlineLevel="0" collapsed="false">
      <c r="A47" s="1" t="s">
        <v>129</v>
      </c>
      <c r="B47" s="1" t="n">
        <v>37.5</v>
      </c>
      <c r="C47" s="1" t="e">
        <f aca="false">VLOOKUP(A47, Salary!A:B, 2, FALSE())</f>
        <v>#N/A</v>
      </c>
      <c r="E47" s="1" t="s">
        <v>40</v>
      </c>
      <c r="F47" s="1" t="n">
        <v>31.6</v>
      </c>
    </row>
    <row r="48" customFormat="false" ht="15.75" hidden="false" customHeight="true" outlineLevel="0" collapsed="false">
      <c r="A48" s="1" t="s">
        <v>49</v>
      </c>
      <c r="B48" s="1" t="n">
        <v>37.2</v>
      </c>
      <c r="C48" s="1" t="n">
        <f aca="false">VLOOKUP(A48, Salary!A:B, 2, FALSE())</f>
        <v>1694.13</v>
      </c>
      <c r="E48" s="1" t="s">
        <v>135</v>
      </c>
      <c r="F48" s="1" t="n">
        <v>31.5</v>
      </c>
    </row>
    <row r="49" customFormat="false" ht="15.75" hidden="false" customHeight="true" outlineLevel="0" collapsed="false">
      <c r="A49" s="1" t="s">
        <v>54</v>
      </c>
      <c r="B49" s="1" t="n">
        <v>37.1</v>
      </c>
      <c r="C49" s="1" t="n">
        <f aca="false">VLOOKUP(A49, Salary!A:B, 2, FALSE())</f>
        <v>1308.71</v>
      </c>
      <c r="E49" s="1" t="s">
        <v>47</v>
      </c>
      <c r="F49" s="1" t="n">
        <v>31.5</v>
      </c>
    </row>
    <row r="50" customFormat="false" ht="15.75" hidden="false" customHeight="true" outlineLevel="0" collapsed="false">
      <c r="A50" s="1" t="s">
        <v>38</v>
      </c>
      <c r="B50" s="1" t="n">
        <v>37</v>
      </c>
      <c r="C50" s="1" t="n">
        <f aca="false">VLOOKUP(A50, Salary!A:B, 2, FALSE())</f>
        <v>2328.77</v>
      </c>
      <c r="E50" s="1" t="s">
        <v>60</v>
      </c>
      <c r="F50" s="1" t="n">
        <v>31.5</v>
      </c>
    </row>
    <row r="51" customFormat="false" ht="15.75" hidden="false" customHeight="true" outlineLevel="0" collapsed="false">
      <c r="A51" s="1" t="s">
        <v>47</v>
      </c>
      <c r="B51" s="1" t="n">
        <v>37</v>
      </c>
      <c r="C51" s="1" t="n">
        <f aca="false">VLOOKUP(A51, Salary!A:B, 2, FALSE())</f>
        <v>1728.08</v>
      </c>
      <c r="E51" s="1" t="s">
        <v>59</v>
      </c>
      <c r="F51" s="1" t="n">
        <v>31.1</v>
      </c>
    </row>
    <row r="52" customFormat="false" ht="15.75" hidden="false" customHeight="true" outlineLevel="0" collapsed="false">
      <c r="A52" s="1" t="s">
        <v>130</v>
      </c>
      <c r="B52" s="1" t="n">
        <v>36</v>
      </c>
      <c r="C52" s="1" t="e">
        <f aca="false">VLOOKUP(A52, Salary!A:B, 2, FALSE())</f>
        <v>#N/A</v>
      </c>
      <c r="E52" s="1" t="s">
        <v>139</v>
      </c>
      <c r="F52" s="1" t="n">
        <v>31</v>
      </c>
    </row>
    <row r="53" customFormat="false" ht="15.75" hidden="false" customHeight="true" outlineLevel="0" collapsed="false">
      <c r="A53" s="1" t="s">
        <v>60</v>
      </c>
      <c r="B53" s="1" t="n">
        <v>35.9</v>
      </c>
      <c r="C53" s="1" t="n">
        <f aca="false">VLOOKUP(A53, Salary!A:B, 2, FALSE())</f>
        <v>1098.04</v>
      </c>
      <c r="E53" s="1" t="s">
        <v>50</v>
      </c>
      <c r="F53" s="1" t="n">
        <v>30.9</v>
      </c>
    </row>
    <row r="54" customFormat="false" ht="15.75" hidden="false" customHeight="true" outlineLevel="0" collapsed="false">
      <c r="A54" s="1" t="s">
        <v>131</v>
      </c>
      <c r="B54" s="1" t="n">
        <v>35.7</v>
      </c>
      <c r="C54" s="1" t="e">
        <f aca="false">VLOOKUP(A54, Salary!A:B, 2, FALSE())</f>
        <v>#N/A</v>
      </c>
      <c r="E54" s="1" t="s">
        <v>48</v>
      </c>
      <c r="F54" s="1" t="n">
        <v>30.5</v>
      </c>
    </row>
    <row r="55" customFormat="false" ht="15.75" hidden="false" customHeight="true" outlineLevel="0" collapsed="false">
      <c r="A55" s="1" t="s">
        <v>52</v>
      </c>
      <c r="B55" s="1" t="n">
        <v>35.2</v>
      </c>
      <c r="C55" s="1" t="n">
        <f aca="false">VLOOKUP(A55, Salary!A:B, 2, FALSE())</f>
        <v>1571.6</v>
      </c>
      <c r="E55" s="1" t="s">
        <v>52</v>
      </c>
      <c r="F55" s="1" t="n">
        <v>30.5</v>
      </c>
    </row>
    <row r="56" customFormat="false" ht="15.75" hidden="false" customHeight="true" outlineLevel="0" collapsed="false">
      <c r="A56" s="1" t="s">
        <v>70</v>
      </c>
      <c r="B56" s="1" t="n">
        <v>35.2</v>
      </c>
      <c r="C56" s="1" t="n">
        <f aca="false">VLOOKUP(A56, Salary!A:B, 2, FALSE())</f>
        <v>824.51</v>
      </c>
      <c r="E56" s="1" t="s">
        <v>77</v>
      </c>
      <c r="F56" s="1" t="n">
        <v>29.9</v>
      </c>
    </row>
    <row r="57" customFormat="false" ht="15.75" hidden="false" customHeight="true" outlineLevel="0" collapsed="false">
      <c r="A57" s="1" t="s">
        <v>39</v>
      </c>
      <c r="B57" s="1" t="n">
        <v>35.1</v>
      </c>
      <c r="C57" s="1" t="n">
        <f aca="false">VLOOKUP(A57, Salary!A:B, 2, FALSE())</f>
        <v>2264.87</v>
      </c>
      <c r="E57" s="1" t="s">
        <v>56</v>
      </c>
      <c r="F57" s="1" t="n">
        <v>29.7</v>
      </c>
    </row>
    <row r="58" customFormat="false" ht="15.75" hidden="false" customHeight="true" outlineLevel="0" collapsed="false">
      <c r="A58" s="1" t="s">
        <v>132</v>
      </c>
      <c r="B58" s="1" t="n">
        <v>35</v>
      </c>
      <c r="C58" s="1" t="e">
        <f aca="false">VLOOKUP(A58, Salary!A:B, 2, FALSE())</f>
        <v>#N/A</v>
      </c>
      <c r="E58" s="1" t="s">
        <v>134</v>
      </c>
      <c r="F58" s="1" t="n">
        <v>29.6</v>
      </c>
    </row>
    <row r="59" customFormat="false" ht="15.75" hidden="false" customHeight="true" outlineLevel="0" collapsed="false">
      <c r="A59" s="1" t="s">
        <v>59</v>
      </c>
      <c r="B59" s="1" t="n">
        <v>34.8</v>
      </c>
      <c r="C59" s="1" t="n">
        <f aca="false">VLOOKUP(A59, Salary!A:B, 2, FALSE())</f>
        <v>1126.87</v>
      </c>
      <c r="E59" s="1" t="s">
        <v>51</v>
      </c>
      <c r="F59" s="1" t="n">
        <v>28.8</v>
      </c>
    </row>
    <row r="60" customFormat="false" ht="15.75" hidden="false" customHeight="true" outlineLevel="0" collapsed="false">
      <c r="A60" s="1" t="s">
        <v>133</v>
      </c>
      <c r="B60" s="1" t="n">
        <v>34.7</v>
      </c>
      <c r="C60" s="1" t="e">
        <f aca="false">VLOOKUP(A60, Salary!A:B, 2, FALSE())</f>
        <v>#N/A</v>
      </c>
      <c r="E60" s="1" t="s">
        <v>57</v>
      </c>
      <c r="F60" s="1" t="n">
        <v>28.6</v>
      </c>
    </row>
    <row r="61" customFormat="false" ht="15.75" hidden="false" customHeight="true" outlineLevel="0" collapsed="false">
      <c r="A61" s="1" t="s">
        <v>134</v>
      </c>
      <c r="B61" s="1" t="n">
        <v>33.8</v>
      </c>
      <c r="C61" s="1" t="e">
        <f aca="false">VLOOKUP(A61, Salary!A:B, 2, FALSE())</f>
        <v>#N/A</v>
      </c>
      <c r="E61" s="1" t="s">
        <v>44</v>
      </c>
      <c r="F61" s="1" t="n">
        <v>28.4</v>
      </c>
    </row>
    <row r="62" customFormat="false" ht="15.75" hidden="false" customHeight="true" outlineLevel="0" collapsed="false">
      <c r="A62" s="1" t="s">
        <v>55</v>
      </c>
      <c r="B62" s="1" t="n">
        <v>33.6</v>
      </c>
      <c r="C62" s="1" t="n">
        <f aca="false">VLOOKUP(A62, Salary!A:B, 2, FALSE())</f>
        <v>1306.72</v>
      </c>
      <c r="E62" s="1" t="s">
        <v>137</v>
      </c>
      <c r="F62" s="1" t="n">
        <v>28.2</v>
      </c>
    </row>
    <row r="63" customFormat="false" ht="15.75" hidden="false" customHeight="true" outlineLevel="0" collapsed="false">
      <c r="A63" s="1" t="s">
        <v>50</v>
      </c>
      <c r="B63" s="1" t="n">
        <v>33.5</v>
      </c>
      <c r="C63" s="1" t="n">
        <f aca="false">VLOOKUP(A63, Salary!A:B, 2, FALSE())</f>
        <v>1632.9</v>
      </c>
      <c r="E63" s="1" t="s">
        <v>133</v>
      </c>
      <c r="F63" s="1" t="n">
        <v>28</v>
      </c>
    </row>
    <row r="64" customFormat="false" ht="15.75" hidden="false" customHeight="true" outlineLevel="0" collapsed="false">
      <c r="A64" s="1" t="s">
        <v>56</v>
      </c>
      <c r="B64" s="1" t="n">
        <v>33.5</v>
      </c>
      <c r="C64" s="1" t="n">
        <f aca="false">VLOOKUP(A64, Salary!A:B, 2, FALSE())</f>
        <v>1292.93</v>
      </c>
      <c r="E64" s="1" t="s">
        <v>138</v>
      </c>
      <c r="F64" s="1" t="n">
        <v>28</v>
      </c>
    </row>
    <row r="65" customFormat="false" ht="15.75" hidden="false" customHeight="true" outlineLevel="0" collapsed="false">
      <c r="A65" s="1" t="s">
        <v>135</v>
      </c>
      <c r="B65" s="1" t="n">
        <v>33.4</v>
      </c>
      <c r="C65" s="1" t="e">
        <f aca="false">VLOOKUP(A65, Salary!A:B, 2, FALSE())</f>
        <v>#N/A</v>
      </c>
      <c r="E65" s="1" t="s">
        <v>113</v>
      </c>
      <c r="F65" s="1" t="n">
        <v>27.9</v>
      </c>
    </row>
    <row r="66" customFormat="false" ht="15.75" hidden="false" customHeight="true" outlineLevel="0" collapsed="false">
      <c r="A66" s="1" t="s">
        <v>27</v>
      </c>
      <c r="B66" s="1" t="n">
        <v>33.3</v>
      </c>
      <c r="C66" s="1" t="n">
        <f aca="false">VLOOKUP(A66, Salary!A:B, 2, FALSE())</f>
        <v>3203.86</v>
      </c>
      <c r="E66" s="1" t="s">
        <v>143</v>
      </c>
      <c r="F66" s="1" t="n">
        <v>27.8</v>
      </c>
    </row>
    <row r="67" customFormat="false" ht="15.75" hidden="false" customHeight="true" outlineLevel="0" collapsed="false">
      <c r="A67" s="1" t="s">
        <v>136</v>
      </c>
      <c r="B67" s="1" t="n">
        <v>33.2</v>
      </c>
      <c r="C67" s="1" t="e">
        <f aca="false">VLOOKUP(A67, Salary!A:B, 2, FALSE())</f>
        <v>#N/A</v>
      </c>
      <c r="E67" s="1" t="s">
        <v>132</v>
      </c>
      <c r="F67" s="1" t="n">
        <v>27.7</v>
      </c>
    </row>
    <row r="68" customFormat="false" ht="15.75" hidden="false" customHeight="true" outlineLevel="0" collapsed="false">
      <c r="A68" s="1" t="s">
        <v>137</v>
      </c>
      <c r="B68" s="1" t="n">
        <v>33.1</v>
      </c>
      <c r="C68" s="1" t="e">
        <f aca="false">VLOOKUP(A68, Salary!A:B, 2, FALSE())</f>
        <v>#N/A</v>
      </c>
      <c r="E68" s="1" t="s">
        <v>37</v>
      </c>
      <c r="F68" s="1" t="n">
        <v>27.5</v>
      </c>
    </row>
    <row r="69" customFormat="false" ht="15.75" hidden="false" customHeight="true" outlineLevel="0" collapsed="false">
      <c r="A69" s="1" t="s">
        <v>57</v>
      </c>
      <c r="B69" s="1" t="n">
        <v>32.7</v>
      </c>
      <c r="C69" s="1" t="n">
        <f aca="false">VLOOKUP(A69, Salary!A:B, 2, FALSE())</f>
        <v>1256.24</v>
      </c>
      <c r="E69" s="1" t="s">
        <v>149</v>
      </c>
      <c r="F69" s="1" t="n">
        <v>27.5</v>
      </c>
    </row>
    <row r="70" customFormat="false" ht="15.75" hidden="false" customHeight="true" outlineLevel="0" collapsed="false">
      <c r="A70" s="1" t="s">
        <v>48</v>
      </c>
      <c r="B70" s="1" t="n">
        <v>32.6</v>
      </c>
      <c r="C70" s="1" t="n">
        <f aca="false">VLOOKUP(A70, Salary!A:B, 2, FALSE())</f>
        <v>1725.27</v>
      </c>
      <c r="E70" s="1" t="s">
        <v>76</v>
      </c>
      <c r="F70" s="1" t="n">
        <v>27.4</v>
      </c>
    </row>
    <row r="71" customFormat="false" ht="15.75" hidden="false" customHeight="true" outlineLevel="0" collapsed="false">
      <c r="A71" s="1" t="s">
        <v>51</v>
      </c>
      <c r="B71" s="1" t="n">
        <v>32.6</v>
      </c>
      <c r="C71" s="1" t="n">
        <f aca="false">VLOOKUP(A71, Salary!A:B, 2, FALSE())</f>
        <v>1625.11</v>
      </c>
      <c r="E71" s="1" t="s">
        <v>64</v>
      </c>
      <c r="F71" s="1" t="n">
        <v>26.8</v>
      </c>
    </row>
    <row r="72" customFormat="false" ht="15.75" hidden="false" customHeight="true" outlineLevel="0" collapsed="false">
      <c r="A72" s="1" t="s">
        <v>40</v>
      </c>
      <c r="B72" s="1" t="n">
        <v>32.1</v>
      </c>
      <c r="C72" s="1" t="n">
        <f aca="false">VLOOKUP(A72, Salary!A:B, 2, FALSE())</f>
        <v>2117.5</v>
      </c>
      <c r="E72" s="1" t="s">
        <v>136</v>
      </c>
      <c r="F72" s="1" t="n">
        <v>26.1</v>
      </c>
    </row>
    <row r="73" customFormat="false" ht="15.75" hidden="false" customHeight="true" outlineLevel="0" collapsed="false">
      <c r="A73" s="1" t="s">
        <v>73</v>
      </c>
      <c r="B73" s="1" t="n">
        <v>31.9</v>
      </c>
      <c r="C73" s="1" t="n">
        <f aca="false">VLOOKUP(A73, Salary!A:B, 2, FALSE())</f>
        <v>768.08</v>
      </c>
      <c r="E73" s="1" t="s">
        <v>184</v>
      </c>
      <c r="F73" s="1" t="n">
        <v>25.5</v>
      </c>
    </row>
    <row r="74" customFormat="false" ht="15.75" hidden="false" customHeight="true" outlineLevel="0" collapsed="false">
      <c r="A74" s="1" t="s">
        <v>64</v>
      </c>
      <c r="B74" s="1" t="n">
        <v>30.4</v>
      </c>
      <c r="C74" s="1" t="n">
        <f aca="false">VLOOKUP(A74, Salary!A:B, 2, FALSE())</f>
        <v>1021.21</v>
      </c>
      <c r="E74" s="1" t="s">
        <v>67</v>
      </c>
      <c r="F74" s="1" t="n">
        <v>25.4</v>
      </c>
    </row>
    <row r="75" customFormat="false" ht="15.75" hidden="false" customHeight="true" outlineLevel="0" collapsed="false">
      <c r="A75" s="1" t="s">
        <v>44</v>
      </c>
      <c r="B75" s="1" t="n">
        <v>30.3</v>
      </c>
      <c r="C75" s="1" t="n">
        <f aca="false">VLOOKUP(A75, Salary!A:B, 2, FALSE())</f>
        <v>1897.02</v>
      </c>
      <c r="E75" s="1" t="s">
        <v>73</v>
      </c>
      <c r="F75" s="1" t="n">
        <v>25.4</v>
      </c>
    </row>
    <row r="76" customFormat="false" ht="15.75" hidden="false" customHeight="true" outlineLevel="0" collapsed="false">
      <c r="A76" s="1" t="s">
        <v>37</v>
      </c>
      <c r="B76" s="1" t="n">
        <v>30.2</v>
      </c>
      <c r="C76" s="1" t="n">
        <f aca="false">VLOOKUP(A76, Salary!A:B, 2, FALSE())</f>
        <v>2587.21</v>
      </c>
      <c r="E76" s="1" t="s">
        <v>55</v>
      </c>
      <c r="F76" s="1" t="n">
        <v>25.3</v>
      </c>
    </row>
    <row r="77" customFormat="false" ht="15.75" hidden="false" customHeight="true" outlineLevel="0" collapsed="false">
      <c r="A77" s="1" t="s">
        <v>71</v>
      </c>
      <c r="B77" s="1" t="n">
        <v>30.2</v>
      </c>
      <c r="C77" s="1" t="n">
        <f aca="false">VLOOKUP(A77, Salary!A:B, 2, FALSE())</f>
        <v>784.25</v>
      </c>
      <c r="E77" s="1" t="s">
        <v>62</v>
      </c>
      <c r="F77" s="1" t="n">
        <v>25</v>
      </c>
    </row>
    <row r="78" customFormat="false" ht="15.75" hidden="false" customHeight="true" outlineLevel="0" collapsed="false">
      <c r="A78" s="1" t="s">
        <v>138</v>
      </c>
      <c r="B78" s="1" t="n">
        <v>30.2</v>
      </c>
      <c r="C78" s="1" t="e">
        <f aca="false">VLOOKUP(A78, Salary!A:B, 2, FALSE())</f>
        <v>#N/A</v>
      </c>
      <c r="E78" s="1" t="s">
        <v>141</v>
      </c>
      <c r="F78" s="1" t="n">
        <v>34.8</v>
      </c>
    </row>
    <row r="79" customFormat="false" ht="15.75" hidden="false" customHeight="true" outlineLevel="0" collapsed="false">
      <c r="A79" s="1" t="s">
        <v>76</v>
      </c>
      <c r="B79" s="1" t="n">
        <v>29.7</v>
      </c>
      <c r="C79" s="1" t="n">
        <f aca="false">VLOOKUP(A79, Salary!A:B, 2, FALSE())</f>
        <v>755.7</v>
      </c>
      <c r="E79" s="1" t="s">
        <v>156</v>
      </c>
      <c r="F79" s="1" t="n">
        <v>24.5</v>
      </c>
    </row>
    <row r="80" customFormat="false" ht="15.75" hidden="false" customHeight="true" outlineLevel="0" collapsed="false">
      <c r="A80" s="1" t="s">
        <v>139</v>
      </c>
      <c r="B80" s="1" t="n">
        <v>29.6</v>
      </c>
      <c r="C80" s="1" t="e">
        <f aca="false">VLOOKUP(A80, Salary!A:B, 2, FALSE())</f>
        <v>#N/A</v>
      </c>
      <c r="E80" s="1" t="s">
        <v>160</v>
      </c>
      <c r="F80" s="1" t="n">
        <v>24.4</v>
      </c>
    </row>
    <row r="81" customFormat="false" ht="15.75" hidden="false" customHeight="true" outlineLevel="0" collapsed="false">
      <c r="A81" s="1" t="s">
        <v>77</v>
      </c>
      <c r="B81" s="1" t="n">
        <v>29.1</v>
      </c>
      <c r="C81" s="1" t="n">
        <f aca="false">VLOOKUP(A81, Salary!A:B, 2, FALSE())</f>
        <v>753.93</v>
      </c>
      <c r="E81" s="1" t="s">
        <v>71</v>
      </c>
      <c r="F81" s="1" t="n">
        <v>24.3</v>
      </c>
    </row>
    <row r="82" customFormat="false" ht="15.75" hidden="false" customHeight="true" outlineLevel="0" collapsed="false">
      <c r="A82" s="1" t="s">
        <v>140</v>
      </c>
      <c r="B82" s="1" t="n">
        <v>28.8</v>
      </c>
      <c r="C82" s="1" t="e">
        <f aca="false">VLOOKUP(A82, Salary!A:B, 2, FALSE())</f>
        <v>#N/A</v>
      </c>
      <c r="E82" s="1" t="s">
        <v>81</v>
      </c>
      <c r="F82" s="1" t="n">
        <v>24.3</v>
      </c>
    </row>
    <row r="83" customFormat="false" ht="15.75" hidden="false" customHeight="true" outlineLevel="0" collapsed="false">
      <c r="A83" s="1" t="s">
        <v>67</v>
      </c>
      <c r="B83" s="1" t="n">
        <v>28.5</v>
      </c>
      <c r="C83" s="1" t="n">
        <f aca="false">VLOOKUP(A83, Salary!A:B, 2, FALSE())</f>
        <v>944.56</v>
      </c>
      <c r="E83" s="1" t="s">
        <v>58</v>
      </c>
      <c r="F83" s="1" t="n">
        <v>24.2</v>
      </c>
    </row>
    <row r="84" customFormat="false" ht="15.75" hidden="false" customHeight="true" outlineLevel="0" collapsed="false">
      <c r="A84" s="1" t="s">
        <v>141</v>
      </c>
      <c r="B84" s="1" t="n">
        <v>28.3</v>
      </c>
      <c r="C84" s="1" t="e">
        <f aca="false">VLOOKUP(A84, Salary!A:B, 2, FALSE())</f>
        <v>#N/A</v>
      </c>
      <c r="E84" s="1" t="s">
        <v>75</v>
      </c>
      <c r="F84" s="1" t="n">
        <v>24.1</v>
      </c>
    </row>
    <row r="85" customFormat="false" ht="15.75" hidden="false" customHeight="true" outlineLevel="0" collapsed="false">
      <c r="A85" s="1" t="s">
        <v>142</v>
      </c>
      <c r="B85" s="1" t="n">
        <v>28.2</v>
      </c>
      <c r="C85" s="1" t="e">
        <f aca="false">VLOOKUP(A85, Salary!A:B, 2, FALSE())</f>
        <v>#N/A</v>
      </c>
      <c r="E85" s="1" t="s">
        <v>72</v>
      </c>
      <c r="F85" s="1" t="n">
        <v>24.1</v>
      </c>
    </row>
    <row r="86" customFormat="false" ht="15.75" hidden="false" customHeight="true" outlineLevel="0" collapsed="false">
      <c r="A86" s="1" t="s">
        <v>113</v>
      </c>
      <c r="B86" s="1" t="n">
        <v>28</v>
      </c>
      <c r="C86" s="1" t="n">
        <f aca="false">VLOOKUP(A86, Salary!A:B, 2, FALSE())</f>
        <v>35.51</v>
      </c>
      <c r="E86" s="1" t="s">
        <v>86</v>
      </c>
      <c r="F86" s="1" t="n">
        <v>24.1</v>
      </c>
    </row>
    <row r="87" customFormat="false" ht="15.75" hidden="false" customHeight="true" outlineLevel="0" collapsed="false">
      <c r="A87" s="1" t="s">
        <v>143</v>
      </c>
      <c r="B87" s="1" t="n">
        <v>28</v>
      </c>
      <c r="C87" s="1" t="e">
        <f aca="false">VLOOKUP(A87, Salary!A:B, 2, FALSE())</f>
        <v>#N/A</v>
      </c>
      <c r="E87" s="1" t="s">
        <v>150</v>
      </c>
      <c r="F87" s="1" t="n">
        <v>23.8</v>
      </c>
    </row>
    <row r="88" customFormat="false" ht="15.75" hidden="false" customHeight="true" outlineLevel="0" collapsed="false">
      <c r="A88" s="1" t="s">
        <v>144</v>
      </c>
      <c r="B88" s="1" t="n">
        <v>27.8</v>
      </c>
      <c r="C88" s="1" t="e">
        <f aca="false">VLOOKUP(A88, Salary!A:B, 2, FALSE())</f>
        <v>#N/A</v>
      </c>
      <c r="E88" s="1" t="s">
        <v>87</v>
      </c>
      <c r="F88" s="1" t="n">
        <v>23.5</v>
      </c>
    </row>
    <row r="89" customFormat="false" ht="15.75" hidden="false" customHeight="true" outlineLevel="0" collapsed="false">
      <c r="A89" s="1" t="s">
        <v>58</v>
      </c>
      <c r="B89" s="1" t="n">
        <v>27.6</v>
      </c>
      <c r="C89" s="1" t="n">
        <f aca="false">VLOOKUP(A89, Salary!A:B, 2, FALSE())</f>
        <v>1146.57</v>
      </c>
      <c r="E89" s="1" t="s">
        <v>147</v>
      </c>
      <c r="F89" s="1" t="n">
        <v>23.4</v>
      </c>
    </row>
    <row r="90" customFormat="false" ht="15.75" hidden="false" customHeight="true" outlineLevel="0" collapsed="false">
      <c r="A90" s="1" t="s">
        <v>87</v>
      </c>
      <c r="B90" s="1" t="n">
        <v>27.5</v>
      </c>
      <c r="C90" s="1" t="n">
        <f aca="false">VLOOKUP(A90, Salary!A:B, 2, FALSE())</f>
        <v>543.4</v>
      </c>
      <c r="E90" s="1" t="s">
        <v>65</v>
      </c>
      <c r="F90" s="1" t="n">
        <v>23.2</v>
      </c>
    </row>
    <row r="91" customFormat="false" ht="15.75" hidden="false" customHeight="true" outlineLevel="0" collapsed="false">
      <c r="A91" s="1" t="s">
        <v>62</v>
      </c>
      <c r="B91" s="1" t="n">
        <v>27.4</v>
      </c>
      <c r="C91" s="1" t="n">
        <f aca="false">VLOOKUP(A91, Salary!A:B, 2, FALSE())</f>
        <v>1071.38</v>
      </c>
      <c r="E91" s="1" t="s">
        <v>210</v>
      </c>
      <c r="F91" s="1" t="n">
        <v>23.1</v>
      </c>
    </row>
    <row r="92" customFormat="false" ht="15.75" hidden="false" customHeight="true" outlineLevel="0" collapsed="false">
      <c r="A92" s="1" t="s">
        <v>145</v>
      </c>
      <c r="B92" s="1" t="n">
        <v>27.3</v>
      </c>
      <c r="C92" s="1" t="e">
        <f aca="false">VLOOKUP(A92, Salary!A:B, 2, FALSE())</f>
        <v>#N/A</v>
      </c>
      <c r="E92" s="1" t="s">
        <v>99</v>
      </c>
      <c r="F92" s="1" t="n">
        <v>23.1</v>
      </c>
    </row>
    <row r="93" customFormat="false" ht="15.75" hidden="false" customHeight="true" outlineLevel="0" collapsed="false">
      <c r="A93" s="1" t="s">
        <v>146</v>
      </c>
      <c r="B93" s="1" t="n">
        <v>27.2</v>
      </c>
      <c r="C93" s="1" t="e">
        <f aca="false">VLOOKUP(A93, Salary!A:B, 2, FALSE())</f>
        <v>#N/A</v>
      </c>
      <c r="E93" s="1" t="s">
        <v>144</v>
      </c>
      <c r="F93" s="1" t="n">
        <v>23.1</v>
      </c>
    </row>
    <row r="94" customFormat="false" ht="15.75" hidden="false" customHeight="true" outlineLevel="0" collapsed="false">
      <c r="A94" s="1" t="s">
        <v>66</v>
      </c>
      <c r="B94" s="1" t="n">
        <v>27.1</v>
      </c>
      <c r="C94" s="1" t="n">
        <f aca="false">VLOOKUP(A94, Salary!A:B, 2, FALSE())</f>
        <v>972.64</v>
      </c>
      <c r="E94" s="1" t="s">
        <v>152</v>
      </c>
      <c r="F94" s="1" t="n">
        <v>23</v>
      </c>
    </row>
    <row r="95" customFormat="false" ht="15.75" hidden="false" customHeight="true" outlineLevel="0" collapsed="false">
      <c r="A95" s="1" t="s">
        <v>53</v>
      </c>
      <c r="B95" s="1" t="n">
        <v>27</v>
      </c>
      <c r="C95" s="1" t="n">
        <f aca="false">VLOOKUP(A95, Salary!A:B, 2, FALSE())</f>
        <v>1482.56</v>
      </c>
      <c r="E95" s="1" t="s">
        <v>155</v>
      </c>
      <c r="F95" s="1" t="n">
        <v>22.9</v>
      </c>
    </row>
    <row r="96" customFormat="false" ht="15.75" hidden="false" customHeight="true" outlineLevel="0" collapsed="false">
      <c r="A96" s="1" t="s">
        <v>147</v>
      </c>
      <c r="B96" s="1" t="n">
        <v>26.5</v>
      </c>
      <c r="C96" s="1" t="e">
        <f aca="false">VLOOKUP(A96, Salary!A:B, 2, FALSE())</f>
        <v>#N/A</v>
      </c>
      <c r="E96" s="1" t="s">
        <v>74</v>
      </c>
      <c r="F96" s="1" t="n">
        <v>22.7</v>
      </c>
    </row>
    <row r="97" customFormat="false" ht="15.75" hidden="false" customHeight="true" outlineLevel="0" collapsed="false">
      <c r="A97" s="1" t="s">
        <v>65</v>
      </c>
      <c r="B97" s="1" t="n">
        <v>26.4</v>
      </c>
      <c r="C97" s="1" t="n">
        <f aca="false">VLOOKUP(A97, Salary!A:B, 2, FALSE())</f>
        <v>1007.32</v>
      </c>
      <c r="E97" s="1" t="s">
        <v>108</v>
      </c>
      <c r="F97" s="1" t="n">
        <v>22.6</v>
      </c>
    </row>
    <row r="98" customFormat="false" ht="15.75" hidden="false" customHeight="true" outlineLevel="0" collapsed="false">
      <c r="A98" s="1" t="s">
        <v>148</v>
      </c>
      <c r="B98" s="1" t="n">
        <v>26</v>
      </c>
      <c r="C98" s="1" t="e">
        <f aca="false">VLOOKUP(A98, Salary!A:B, 2, FALSE())</f>
        <v>#N/A</v>
      </c>
      <c r="E98" s="1" t="s">
        <v>84</v>
      </c>
      <c r="F98" s="1" t="n">
        <v>22.6</v>
      </c>
    </row>
    <row r="99" customFormat="false" ht="15.75" hidden="false" customHeight="true" outlineLevel="0" collapsed="false">
      <c r="A99" s="1" t="s">
        <v>149</v>
      </c>
      <c r="B99" s="1" t="n">
        <v>26</v>
      </c>
      <c r="C99" s="1" t="e">
        <f aca="false">VLOOKUP(A99, Salary!A:B, 2, FALSE())</f>
        <v>#N/A</v>
      </c>
      <c r="E99" s="1" t="s">
        <v>148</v>
      </c>
      <c r="F99" s="1" t="n">
        <v>22.4</v>
      </c>
    </row>
    <row r="100" customFormat="false" ht="15.75" hidden="false" customHeight="true" outlineLevel="0" collapsed="false">
      <c r="A100" s="1" t="s">
        <v>72</v>
      </c>
      <c r="B100" s="1" t="n">
        <v>25.9</v>
      </c>
      <c r="C100" s="1" t="n">
        <f aca="false">VLOOKUP(A100, Salary!A:B, 2, FALSE())</f>
        <v>782.84</v>
      </c>
      <c r="E100" s="1" t="s">
        <v>61</v>
      </c>
      <c r="F100" s="1" t="n">
        <v>22.2</v>
      </c>
    </row>
    <row r="101" customFormat="false" ht="15.75" hidden="false" customHeight="true" outlineLevel="0" collapsed="false">
      <c r="A101" s="1" t="s">
        <v>81</v>
      </c>
      <c r="B101" s="1" t="n">
        <v>25.8</v>
      </c>
      <c r="C101" s="1" t="n">
        <f aca="false">VLOOKUP(A101, Salary!A:B, 2, FALSE())</f>
        <v>651.55</v>
      </c>
      <c r="E101" s="1" t="s">
        <v>158</v>
      </c>
      <c r="F101" s="1" t="n">
        <v>21.6</v>
      </c>
    </row>
    <row r="102" customFormat="false" ht="15.75" hidden="false" customHeight="true" outlineLevel="0" collapsed="false">
      <c r="A102" s="1" t="s">
        <v>86</v>
      </c>
      <c r="B102" s="1" t="n">
        <v>25.8</v>
      </c>
      <c r="C102" s="1" t="n">
        <f aca="false">VLOOKUP(A102, Salary!A:B, 2, FALSE())</f>
        <v>562.93</v>
      </c>
      <c r="E102" s="1" t="s">
        <v>53</v>
      </c>
      <c r="F102" s="1" t="n">
        <v>21.6</v>
      </c>
    </row>
    <row r="103" customFormat="false" ht="15.75" hidden="false" customHeight="true" outlineLevel="0" collapsed="false">
      <c r="A103" s="1" t="s">
        <v>150</v>
      </c>
      <c r="B103" s="1" t="n">
        <v>25.3</v>
      </c>
      <c r="C103" s="1" t="e">
        <f aca="false">VLOOKUP(A103, Salary!A:B, 2, FALSE())</f>
        <v>#N/A</v>
      </c>
      <c r="E103" s="1" t="s">
        <v>109</v>
      </c>
      <c r="F103" s="1" t="n">
        <v>21.5</v>
      </c>
    </row>
    <row r="104" customFormat="false" ht="15.75" hidden="false" customHeight="true" outlineLevel="0" collapsed="false">
      <c r="A104" s="1" t="s">
        <v>74</v>
      </c>
      <c r="B104" s="1" t="n">
        <v>25.3</v>
      </c>
      <c r="C104" s="1" t="n">
        <f aca="false">VLOOKUP(A104, Salary!A:B, 2, FALSE())</f>
        <v>765</v>
      </c>
      <c r="E104" s="1" t="s">
        <v>146</v>
      </c>
      <c r="F104" s="1" t="n">
        <v>21.4</v>
      </c>
    </row>
    <row r="105" customFormat="false" ht="15.75" hidden="false" customHeight="true" outlineLevel="0" collapsed="false">
      <c r="A105" s="1" t="s">
        <v>151</v>
      </c>
      <c r="B105" s="1" t="n">
        <v>25.1</v>
      </c>
      <c r="C105" s="1" t="e">
        <f aca="false">VLOOKUP(A105, Salary!A:B, 2, FALSE())</f>
        <v>#N/A</v>
      </c>
      <c r="E105" s="1" t="s">
        <v>85</v>
      </c>
      <c r="F105" s="1" t="n">
        <v>20.5</v>
      </c>
    </row>
    <row r="106" customFormat="false" ht="15.75" hidden="false" customHeight="true" outlineLevel="0" collapsed="false">
      <c r="A106" s="1" t="s">
        <v>75</v>
      </c>
      <c r="B106" s="1" t="n">
        <v>24.6</v>
      </c>
      <c r="C106" s="1" t="n">
        <f aca="false">VLOOKUP(A106, Salary!A:B, 2, FALSE())</f>
        <v>764.51</v>
      </c>
      <c r="E106" s="1" t="s">
        <v>95</v>
      </c>
      <c r="F106" s="1" t="n">
        <v>20.4</v>
      </c>
    </row>
    <row r="107" customFormat="false" ht="15.75" hidden="false" customHeight="true" outlineLevel="0" collapsed="false">
      <c r="A107" s="1" t="s">
        <v>82</v>
      </c>
      <c r="B107" s="1" t="n">
        <v>24.6</v>
      </c>
      <c r="C107" s="1" t="n">
        <f aca="false">VLOOKUP(A107, Salary!A:B, 2, FALSE())</f>
        <v>619.01</v>
      </c>
      <c r="E107" s="1" t="s">
        <v>69</v>
      </c>
      <c r="F107" s="1" t="n">
        <v>20.3</v>
      </c>
    </row>
    <row r="108" customFormat="false" ht="15.75" hidden="false" customHeight="true" outlineLevel="0" collapsed="false">
      <c r="A108" s="1" t="s">
        <v>69</v>
      </c>
      <c r="B108" s="1" t="n">
        <v>24.2</v>
      </c>
      <c r="C108" s="1" t="n">
        <f aca="false">VLOOKUP(A108, Salary!A:B, 2, FALSE())</f>
        <v>831.92</v>
      </c>
      <c r="E108" s="1" t="s">
        <v>88</v>
      </c>
      <c r="F108" s="1" t="n">
        <v>20.3</v>
      </c>
    </row>
    <row r="109" customFormat="false" ht="15.75" hidden="false" customHeight="true" outlineLevel="0" collapsed="false">
      <c r="A109" s="1" t="s">
        <v>84</v>
      </c>
      <c r="B109" s="1" t="n">
        <v>24.2</v>
      </c>
      <c r="C109" s="1" t="n">
        <f aca="false">VLOOKUP(A109, Salary!A:B, 2, FALSE())</f>
        <v>582.03</v>
      </c>
      <c r="E109" s="1" t="s">
        <v>68</v>
      </c>
      <c r="F109" s="1" t="n">
        <v>20.1</v>
      </c>
    </row>
    <row r="110" customFormat="false" ht="15.75" hidden="false" customHeight="true" outlineLevel="0" collapsed="false">
      <c r="A110" s="1" t="s">
        <v>108</v>
      </c>
      <c r="B110" s="1" t="n">
        <v>24</v>
      </c>
      <c r="C110" s="1" t="n">
        <f aca="false">VLOOKUP(A110, Salary!A:B, 2, FALSE())</f>
        <v>217.48</v>
      </c>
      <c r="E110" s="1" t="s">
        <v>79</v>
      </c>
      <c r="F110" s="1" t="n">
        <v>19.9</v>
      </c>
    </row>
    <row r="111" customFormat="false" ht="15.75" hidden="false" customHeight="true" outlineLevel="0" collapsed="false">
      <c r="A111" s="1" t="s">
        <v>152</v>
      </c>
      <c r="B111" s="1" t="n">
        <v>23.5</v>
      </c>
      <c r="C111" s="1" t="e">
        <f aca="false">VLOOKUP(A111, Salary!A:B, 2, FALSE())</f>
        <v>#N/A</v>
      </c>
      <c r="E111" s="1" t="s">
        <v>80</v>
      </c>
      <c r="F111" s="1" t="n">
        <v>19.4</v>
      </c>
    </row>
    <row r="112" customFormat="false" ht="15.75" hidden="false" customHeight="true" outlineLevel="0" collapsed="false">
      <c r="A112" s="1" t="s">
        <v>153</v>
      </c>
      <c r="B112" s="1" t="n">
        <v>23</v>
      </c>
      <c r="C112" s="1" t="e">
        <f aca="false">VLOOKUP(A112, Salary!A:B, 2, FALSE())</f>
        <v>#N/A</v>
      </c>
      <c r="E112" s="1" t="s">
        <v>102</v>
      </c>
      <c r="F112" s="1" t="n">
        <v>19.1</v>
      </c>
    </row>
    <row r="113" customFormat="false" ht="15.75" hidden="false" customHeight="true" outlineLevel="0" collapsed="false">
      <c r="A113" s="1" t="s">
        <v>99</v>
      </c>
      <c r="B113" s="1" t="n">
        <v>22.9</v>
      </c>
      <c r="C113" s="1" t="n">
        <f aca="false">VLOOKUP(A113, Salary!A:B, 2, FALSE())</f>
        <v>361.94</v>
      </c>
      <c r="E113" s="1" t="s">
        <v>100</v>
      </c>
      <c r="F113" s="1" t="n">
        <v>19.1</v>
      </c>
    </row>
    <row r="114" customFormat="false" ht="15.75" hidden="false" customHeight="true" outlineLevel="0" collapsed="false">
      <c r="A114" s="1" t="s">
        <v>80</v>
      </c>
      <c r="B114" s="1" t="n">
        <v>22.7</v>
      </c>
      <c r="C114" s="1" t="n">
        <f aca="false">VLOOKUP(A114, Salary!A:B, 2, FALSE())</f>
        <v>714.12</v>
      </c>
      <c r="E114" s="1" t="s">
        <v>97</v>
      </c>
      <c r="F114" s="1" t="n">
        <v>18.9</v>
      </c>
    </row>
    <row r="115" customFormat="false" ht="15.75" hidden="false" customHeight="true" outlineLevel="0" collapsed="false">
      <c r="A115" s="1" t="s">
        <v>68</v>
      </c>
      <c r="B115" s="1" t="n">
        <v>22.4</v>
      </c>
      <c r="C115" s="1" t="n">
        <f aca="false">VLOOKUP(A115, Salary!A:B, 2, FALSE())</f>
        <v>908.68</v>
      </c>
      <c r="E115" s="1" t="s">
        <v>93</v>
      </c>
      <c r="F115" s="1" t="n">
        <v>18.9</v>
      </c>
    </row>
    <row r="116" customFormat="false" ht="15.75" hidden="false" customHeight="true" outlineLevel="0" collapsed="false">
      <c r="A116" s="1" t="s">
        <v>154</v>
      </c>
      <c r="B116" s="1" t="n">
        <v>22.3</v>
      </c>
      <c r="C116" s="1" t="e">
        <f aca="false">VLOOKUP(A116, Salary!A:B, 2, FALSE())</f>
        <v>#N/A</v>
      </c>
      <c r="E116" s="1" t="s">
        <v>89</v>
      </c>
      <c r="F116" s="1" t="n">
        <v>18.8</v>
      </c>
    </row>
    <row r="117" customFormat="false" ht="15.75" hidden="false" customHeight="true" outlineLevel="0" collapsed="false">
      <c r="A117" s="1" t="s">
        <v>85</v>
      </c>
      <c r="B117" s="1" t="n">
        <v>22.1</v>
      </c>
      <c r="C117" s="1" t="n">
        <f aca="false">VLOOKUP(A117, Salary!A:B, 2, FALSE())</f>
        <v>564.79</v>
      </c>
      <c r="E117" s="1" t="s">
        <v>94</v>
      </c>
      <c r="F117" s="1" t="n">
        <v>18.3</v>
      </c>
    </row>
    <row r="118" customFormat="false" ht="15.75" hidden="false" customHeight="true" outlineLevel="0" collapsed="false">
      <c r="A118" s="1" t="s">
        <v>78</v>
      </c>
      <c r="B118" s="1" t="n">
        <v>22</v>
      </c>
      <c r="C118" s="1" t="n">
        <f aca="false">VLOOKUP(A118, Salary!A:B, 2, FALSE())</f>
        <v>740.73</v>
      </c>
      <c r="E118" s="1" t="s">
        <v>92</v>
      </c>
      <c r="F118" s="1" t="n">
        <v>18.2</v>
      </c>
    </row>
    <row r="119" customFormat="false" ht="15.75" hidden="false" customHeight="true" outlineLevel="0" collapsed="false">
      <c r="A119" s="1" t="s">
        <v>79</v>
      </c>
      <c r="B119" s="1" t="n">
        <v>21.9</v>
      </c>
      <c r="C119" s="1" t="n">
        <f aca="false">VLOOKUP(A119, Salary!A:B, 2, FALSE())</f>
        <v>732.96</v>
      </c>
      <c r="E119" s="1" t="s">
        <v>157</v>
      </c>
      <c r="F119" s="1" t="n">
        <v>18.2</v>
      </c>
    </row>
    <row r="120" customFormat="false" ht="15.75" hidden="false" customHeight="true" outlineLevel="0" collapsed="false">
      <c r="A120" s="1" t="s">
        <v>91</v>
      </c>
      <c r="B120" s="1" t="n">
        <v>21.9</v>
      </c>
      <c r="C120" s="1" t="n">
        <f aca="false">VLOOKUP(A120, Salary!A:B, 2, FALSE())</f>
        <v>503.32</v>
      </c>
      <c r="E120" s="1" t="s">
        <v>82</v>
      </c>
      <c r="F120" s="1" t="n">
        <v>18.1</v>
      </c>
    </row>
    <row r="121" customFormat="false" ht="15.75" hidden="false" customHeight="true" outlineLevel="0" collapsed="false">
      <c r="A121" s="1" t="s">
        <v>95</v>
      </c>
      <c r="B121" s="1" t="n">
        <v>21.3</v>
      </c>
      <c r="C121" s="1" t="n">
        <f aca="false">VLOOKUP(A121, Salary!A:B, 2, FALSE())</f>
        <v>428.9</v>
      </c>
      <c r="E121" s="1" t="s">
        <v>78</v>
      </c>
      <c r="F121" s="1" t="n">
        <v>17.8</v>
      </c>
    </row>
    <row r="122" customFormat="false" ht="15.75" hidden="false" customHeight="true" outlineLevel="0" collapsed="false">
      <c r="A122" s="1" t="s">
        <v>61</v>
      </c>
      <c r="B122" s="1" t="n">
        <v>21</v>
      </c>
      <c r="C122" s="1" t="n">
        <f aca="false">VLOOKUP(A122, Salary!A:B, 2, FALSE())</f>
        <v>1081.62</v>
      </c>
      <c r="E122" s="1" t="s">
        <v>104</v>
      </c>
      <c r="F122" s="1" t="n">
        <v>17.7</v>
      </c>
    </row>
    <row r="123" customFormat="false" ht="15.75" hidden="false" customHeight="true" outlineLevel="0" collapsed="false">
      <c r="A123" s="1" t="s">
        <v>155</v>
      </c>
      <c r="B123" s="1" t="n">
        <v>20.9</v>
      </c>
      <c r="C123" s="1" t="e">
        <f aca="false">VLOOKUP(A123, Salary!A:B, 2, FALSE())</f>
        <v>#N/A</v>
      </c>
      <c r="E123" s="1" t="s">
        <v>91</v>
      </c>
      <c r="F123" s="1" t="n">
        <v>17.4</v>
      </c>
    </row>
    <row r="124" customFormat="false" ht="15.75" hidden="false" customHeight="true" outlineLevel="0" collapsed="false">
      <c r="A124" s="1" t="s">
        <v>93</v>
      </c>
      <c r="B124" s="1" t="n">
        <v>20.5</v>
      </c>
      <c r="C124" s="1" t="n">
        <f aca="false">VLOOKUP(A124, Salary!A:B, 2, FALSE())</f>
        <v>488.02</v>
      </c>
      <c r="E124" s="1" t="s">
        <v>83</v>
      </c>
      <c r="F124" s="1" t="n">
        <v>17.3</v>
      </c>
    </row>
    <row r="125" customFormat="false" ht="15.75" hidden="false" customHeight="true" outlineLevel="0" collapsed="false">
      <c r="A125" s="1" t="s">
        <v>83</v>
      </c>
      <c r="B125" s="1" t="n">
        <v>20.4</v>
      </c>
      <c r="C125" s="1" t="n">
        <f aca="false">VLOOKUP(A125, Salary!A:B, 2, FALSE())</f>
        <v>600.12</v>
      </c>
      <c r="E125" s="1" t="s">
        <v>105</v>
      </c>
      <c r="F125" s="1" t="n">
        <v>17.1</v>
      </c>
    </row>
    <row r="126" customFormat="false" ht="15.75" hidden="false" customHeight="true" outlineLevel="0" collapsed="false">
      <c r="A126" s="1" t="s">
        <v>94</v>
      </c>
      <c r="B126" s="1" t="n">
        <v>20.4</v>
      </c>
      <c r="C126" s="1" t="n">
        <f aca="false">VLOOKUP(A126, Salary!A:B, 2, FALSE())</f>
        <v>460.07</v>
      </c>
      <c r="E126" s="1" t="s">
        <v>90</v>
      </c>
      <c r="F126" s="1" t="n">
        <v>17.1</v>
      </c>
    </row>
    <row r="127" customFormat="false" ht="15.75" hidden="false" customHeight="true" outlineLevel="0" collapsed="false">
      <c r="A127" s="1" t="s">
        <v>88</v>
      </c>
      <c r="B127" s="1" t="n">
        <v>20.4</v>
      </c>
      <c r="C127" s="1" t="n">
        <f aca="false">VLOOKUP(A127, Salary!A:B, 2, FALSE())</f>
        <v>537.2</v>
      </c>
      <c r="E127" s="1" t="s">
        <v>106</v>
      </c>
      <c r="F127" s="1" t="n">
        <v>16.8</v>
      </c>
    </row>
    <row r="128" customFormat="false" ht="15.75" hidden="false" customHeight="true" outlineLevel="0" collapsed="false">
      <c r="A128" s="1" t="s">
        <v>89</v>
      </c>
      <c r="B128" s="1" t="n">
        <v>20.4</v>
      </c>
      <c r="C128" s="1" t="n">
        <f aca="false">VLOOKUP(A128, Salary!A:B, 2, FALSE())</f>
        <v>535.1</v>
      </c>
      <c r="E128" s="1" t="s">
        <v>154</v>
      </c>
      <c r="F128" s="1" t="n">
        <v>16.6</v>
      </c>
    </row>
    <row r="129" customFormat="false" ht="15.75" hidden="false" customHeight="true" outlineLevel="0" collapsed="false">
      <c r="A129" s="1" t="s">
        <v>109</v>
      </c>
      <c r="B129" s="1" t="n">
        <v>20.2</v>
      </c>
      <c r="C129" s="1" t="n">
        <f aca="false">VLOOKUP(A129, Salary!A:B, 2, FALSE())</f>
        <v>215.36</v>
      </c>
      <c r="E129" s="1" t="s">
        <v>101</v>
      </c>
      <c r="F129" s="1" t="n">
        <v>16.3</v>
      </c>
    </row>
    <row r="130" customFormat="false" ht="15.75" hidden="false" customHeight="true" outlineLevel="0" collapsed="false">
      <c r="A130" s="1" t="s">
        <v>156</v>
      </c>
      <c r="B130" s="1" t="n">
        <v>19.9</v>
      </c>
      <c r="C130" s="1" t="e">
        <f aca="false">VLOOKUP(A130, Salary!A:B, 2, FALSE())</f>
        <v>#N/A</v>
      </c>
      <c r="E130" s="1" t="s">
        <v>66</v>
      </c>
      <c r="F130" s="1" t="n">
        <v>15.8</v>
      </c>
    </row>
    <row r="131" customFormat="false" ht="15.75" hidden="false" customHeight="true" outlineLevel="0" collapsed="false">
      <c r="A131" s="1" t="s">
        <v>98</v>
      </c>
      <c r="B131" s="1" t="n">
        <v>19.8</v>
      </c>
      <c r="C131" s="1" t="n">
        <f aca="false">VLOOKUP(A131, Salary!A:B, 2, FALSE())</f>
        <v>409.3</v>
      </c>
      <c r="E131" s="1" t="s">
        <v>103</v>
      </c>
      <c r="F131" s="1" t="n">
        <v>15.2</v>
      </c>
    </row>
    <row r="132" customFormat="false" ht="15.75" hidden="false" customHeight="true" outlineLevel="0" collapsed="false">
      <c r="A132" s="1" t="s">
        <v>104</v>
      </c>
      <c r="B132" s="1" t="n">
        <v>19.5</v>
      </c>
      <c r="C132" s="1" t="n">
        <f aca="false">VLOOKUP(A132, Salary!A:B, 2, FALSE())</f>
        <v>277.62</v>
      </c>
      <c r="E132" s="1" t="s">
        <v>159</v>
      </c>
      <c r="F132" s="1" t="n">
        <v>14.5</v>
      </c>
    </row>
    <row r="133" customFormat="false" ht="15.75" hidden="false" customHeight="true" outlineLevel="0" collapsed="false">
      <c r="A133" s="1" t="s">
        <v>90</v>
      </c>
      <c r="B133" s="1" t="n">
        <v>19.3</v>
      </c>
      <c r="C133" s="1" t="n">
        <f aca="false">VLOOKUP(A133, Salary!A:B, 2, FALSE())</f>
        <v>507.15</v>
      </c>
      <c r="E133" s="1" t="s">
        <v>110</v>
      </c>
      <c r="F133" s="1" t="n">
        <v>14.1</v>
      </c>
    </row>
    <row r="134" customFormat="false" ht="15.75" hidden="false" customHeight="true" outlineLevel="0" collapsed="false">
      <c r="A134" s="1" t="s">
        <v>157</v>
      </c>
      <c r="B134" s="1" t="n">
        <v>19.2</v>
      </c>
      <c r="C134" s="1" t="e">
        <f aca="false">VLOOKUP(A134, Salary!A:B, 2, FALSE())</f>
        <v>#N/A</v>
      </c>
      <c r="E134" s="1" t="s">
        <v>161</v>
      </c>
      <c r="F134" s="1" t="n">
        <v>13.5</v>
      </c>
    </row>
    <row r="135" customFormat="false" ht="15.75" hidden="false" customHeight="true" outlineLevel="0" collapsed="false">
      <c r="A135" s="1" t="s">
        <v>102</v>
      </c>
      <c r="B135" s="1" t="n">
        <v>19.1</v>
      </c>
      <c r="C135" s="1" t="n">
        <f aca="false">VLOOKUP(A135, Salary!A:B, 2, FALSE())</f>
        <v>312.77</v>
      </c>
      <c r="E135" s="1" t="s">
        <v>96</v>
      </c>
      <c r="F135" s="1" t="n">
        <v>13.1</v>
      </c>
    </row>
    <row r="136" customFormat="false" ht="15.75" hidden="false" customHeight="true" outlineLevel="0" collapsed="false">
      <c r="A136" s="1" t="s">
        <v>100</v>
      </c>
      <c r="B136" s="1" t="n">
        <v>19.1</v>
      </c>
      <c r="C136" s="1" t="n">
        <f aca="false">VLOOKUP(A136, Salary!A:B, 2, FALSE())</f>
        <v>350.94</v>
      </c>
      <c r="E136" s="1" t="s">
        <v>107</v>
      </c>
      <c r="F136" s="1" t="n">
        <v>12.7</v>
      </c>
    </row>
    <row r="137" customFormat="false" ht="15.75" hidden="false" customHeight="true" outlineLevel="0" collapsed="false">
      <c r="A137" s="1" t="s">
        <v>97</v>
      </c>
      <c r="B137" s="1" t="n">
        <v>19</v>
      </c>
      <c r="C137" s="1" t="n">
        <f aca="false">VLOOKUP(A137, Salary!A:B, 2, FALSE())</f>
        <v>412.87</v>
      </c>
      <c r="E137" s="1" t="s">
        <v>112</v>
      </c>
      <c r="F137" s="1" t="n">
        <v>12.2</v>
      </c>
    </row>
    <row r="138" customFormat="false" ht="15.75" hidden="false" customHeight="true" outlineLevel="0" collapsed="false">
      <c r="A138" s="1" t="s">
        <v>92</v>
      </c>
      <c r="B138" s="1" t="n">
        <v>18.6</v>
      </c>
      <c r="C138" s="1" t="n">
        <f aca="false">VLOOKUP(A138, Salary!A:B, 2, FALSE())</f>
        <v>499.68</v>
      </c>
      <c r="E138" s="1" t="s">
        <v>163</v>
      </c>
      <c r="F138" s="1" t="n">
        <v>12.1</v>
      </c>
    </row>
    <row r="139" customFormat="false" ht="15.75" hidden="false" customHeight="true" outlineLevel="0" collapsed="false">
      <c r="A139" s="1" t="s">
        <v>101</v>
      </c>
      <c r="B139" s="1" t="n">
        <v>18</v>
      </c>
      <c r="C139" s="1" t="n">
        <f aca="false">VLOOKUP(A139, Salary!A:B, 2, FALSE())</f>
        <v>318.97</v>
      </c>
      <c r="E139" s="1" t="s">
        <v>162</v>
      </c>
      <c r="F139" s="1" t="n">
        <v>12</v>
      </c>
    </row>
    <row r="140" customFormat="false" ht="15.75" hidden="false" customHeight="true" outlineLevel="0" collapsed="false">
      <c r="A140" s="1" t="s">
        <v>158</v>
      </c>
      <c r="B140" s="1" t="n">
        <v>17.5</v>
      </c>
      <c r="C140" s="1" t="e">
        <f aca="false">VLOOKUP(A140, Salary!A:B, 2, FALSE())</f>
        <v>#N/A</v>
      </c>
      <c r="E140" s="1" t="s">
        <v>111</v>
      </c>
      <c r="F140" s="1" t="n">
        <v>11.2</v>
      </c>
    </row>
    <row r="141" customFormat="false" ht="15.75" hidden="false" customHeight="true" outlineLevel="0" collapsed="false">
      <c r="A141" s="1" t="s">
        <v>159</v>
      </c>
      <c r="B141" s="1" t="n">
        <v>17.3</v>
      </c>
      <c r="C141" s="1" t="e">
        <f aca="false">VLOOKUP(A141, Salary!A:B, 2, FALSE())</f>
        <v>#N/A</v>
      </c>
    </row>
    <row r="142" customFormat="false" ht="15.75" hidden="false" customHeight="true" outlineLevel="0" collapsed="false">
      <c r="A142" s="1" t="s">
        <v>105</v>
      </c>
      <c r="B142" s="1" t="n">
        <v>17</v>
      </c>
      <c r="C142" s="1" t="n">
        <f aca="false">VLOOKUP(A142, Salary!A:B, 2, FALSE())</f>
        <v>260.19</v>
      </c>
    </row>
    <row r="143" customFormat="false" ht="15.75" hidden="false" customHeight="true" outlineLevel="0" collapsed="false">
      <c r="A143" s="1" t="s">
        <v>160</v>
      </c>
      <c r="B143" s="1" t="n">
        <v>16.6</v>
      </c>
      <c r="C143" s="1" t="e">
        <f aca="false">VLOOKUP(A143, Salary!A:B, 2, FALSE())</f>
        <v>#N/A</v>
      </c>
    </row>
    <row r="144" customFormat="false" ht="15.75" hidden="false" customHeight="true" outlineLevel="0" collapsed="false">
      <c r="A144" s="1" t="s">
        <v>161</v>
      </c>
      <c r="B144" s="1" t="n">
        <v>16.5</v>
      </c>
      <c r="C144" s="1" t="e">
        <f aca="false">VLOOKUP(A144, Salary!A:B, 2, FALSE())</f>
        <v>#N/A</v>
      </c>
    </row>
    <row r="145" customFormat="false" ht="15.75" hidden="false" customHeight="true" outlineLevel="0" collapsed="false">
      <c r="A145" s="1" t="s">
        <v>103</v>
      </c>
      <c r="B145" s="1" t="n">
        <v>16.1</v>
      </c>
      <c r="C145" s="1" t="n">
        <f aca="false">VLOOKUP(A145, Salary!A:B, 2, FALSE())</f>
        <v>295.6</v>
      </c>
    </row>
    <row r="146" customFormat="false" ht="15.75" hidden="false" customHeight="true" outlineLevel="0" collapsed="false">
      <c r="A146" s="1" t="s">
        <v>106</v>
      </c>
      <c r="B146" s="1" t="n">
        <v>15.1</v>
      </c>
      <c r="C146" s="1" t="n">
        <f aca="false">VLOOKUP(A146, Salary!A:B, 2, FALSE())</f>
        <v>246.03</v>
      </c>
    </row>
    <row r="147" customFormat="false" ht="15.75" hidden="false" customHeight="true" outlineLevel="0" collapsed="false">
      <c r="A147" s="1" t="s">
        <v>107</v>
      </c>
      <c r="B147" s="1" t="n">
        <v>13.4</v>
      </c>
      <c r="C147" s="1" t="n">
        <f aca="false">VLOOKUP(A147, Salary!A:B, 2, FALSE())</f>
        <v>224.13</v>
      </c>
    </row>
    <row r="148" customFormat="false" ht="15.75" hidden="false" customHeight="true" outlineLevel="0" collapsed="false">
      <c r="A148" s="1" t="s">
        <v>112</v>
      </c>
      <c r="B148" s="1" t="n">
        <v>13.4</v>
      </c>
      <c r="C148" s="1" t="n">
        <f aca="false">VLOOKUP(A148, Salary!A:B, 2, FALSE())</f>
        <v>138.65</v>
      </c>
    </row>
    <row r="149" customFormat="false" ht="15.75" hidden="false" customHeight="true" outlineLevel="0" collapsed="false">
      <c r="A149" s="1" t="s">
        <v>110</v>
      </c>
      <c r="B149" s="1" t="n">
        <v>13.2</v>
      </c>
      <c r="C149" s="1" t="n">
        <f aca="false">VLOOKUP(A149, Salary!A:B, 2, FALSE())</f>
        <v>211.67</v>
      </c>
    </row>
    <row r="150" customFormat="false" ht="15.75" hidden="false" customHeight="true" outlineLevel="0" collapsed="false">
      <c r="A150" s="1" t="s">
        <v>162</v>
      </c>
      <c r="B150" s="1" t="n">
        <v>12.9</v>
      </c>
      <c r="C150" s="1" t="e">
        <f aca="false">VLOOKUP(A150, Salary!A:B, 2, FALSE())</f>
        <v>#N/A</v>
      </c>
    </row>
    <row r="151" customFormat="false" ht="15.75" hidden="false" customHeight="true" outlineLevel="0" collapsed="false">
      <c r="A151" s="1" t="s">
        <v>163</v>
      </c>
      <c r="B151" s="1" t="n">
        <v>12.7</v>
      </c>
      <c r="C151" s="1" t="e">
        <f aca="false">VLOOKUP(A151, Salary!A:B, 2, FALSE())</f>
        <v>#N/A</v>
      </c>
    </row>
    <row r="152" customFormat="false" ht="15.75" hidden="false" customHeight="true" outlineLevel="0" collapsed="false">
      <c r="A152" s="1" t="s">
        <v>111</v>
      </c>
      <c r="B152" s="1" t="n">
        <v>12.4</v>
      </c>
      <c r="C152" s="1" t="n">
        <f aca="false">VLOOKUP(A152, Salary!A:B, 2, FALSE())</f>
        <v>191.7</v>
      </c>
    </row>
    <row r="153" customFormat="false" ht="15.75" hidden="false" customHeight="true" outlineLevel="0" collapsed="false">
      <c r="A153" s="1" t="s">
        <v>96</v>
      </c>
      <c r="B153" s="1" t="n">
        <v>11.6</v>
      </c>
      <c r="C153" s="1" t="n">
        <f aca="false">VLOOKUP(A153, Salary!A:B, 2, FALSE())</f>
        <v>416.21</v>
      </c>
    </row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6" min="1" style="1" width="10.56"/>
  </cols>
  <sheetData>
    <row r="1" customFormat="false" ht="15.75" hidden="false" customHeight="true" outlineLevel="0" collapsed="false">
      <c r="A1" s="8" t="s">
        <v>0</v>
      </c>
      <c r="B1" s="8" t="s">
        <v>562</v>
      </c>
      <c r="C1" s="8" t="s">
        <v>560</v>
      </c>
      <c r="D1" s="8" t="s">
        <v>563</v>
      </c>
      <c r="E1" s="8" t="s">
        <v>564</v>
      </c>
    </row>
    <row r="2" customFormat="false" ht="15.75" hidden="false" customHeight="true" outlineLevel="0" collapsed="false">
      <c r="A2" s="9" t="s">
        <v>12</v>
      </c>
      <c r="B2" s="9" t="n">
        <v>6862.91</v>
      </c>
      <c r="C2" s="8" t="n">
        <f aca="false">VLOOKUP(A2, Sheet1!A:B, 2, FALSE())</f>
        <v>81.5</v>
      </c>
      <c r="D2" s="5" t="n">
        <f aca="false">(B2-B$18)*100/B$18</f>
        <v>108.784392226535</v>
      </c>
      <c r="E2" s="5" t="n">
        <f aca="false">(C2-C$18)*100/C$18</f>
        <v>73.4042553191489</v>
      </c>
    </row>
    <row r="3" customFormat="false" ht="15.75" hidden="false" customHeight="true" outlineLevel="0" collapsed="false">
      <c r="A3" s="9" t="s">
        <v>13</v>
      </c>
      <c r="B3" s="9" t="n">
        <v>5379.43</v>
      </c>
      <c r="C3" s="8" t="n">
        <f aca="false">VLOOKUP(A3, Sheet1!A:B, 2, FALSE())</f>
        <v>64.2</v>
      </c>
      <c r="D3" s="5" t="n">
        <f aca="false">(B3-B$18)*100/B$18</f>
        <v>63.6537595677623</v>
      </c>
      <c r="E3" s="5" t="n">
        <f aca="false">(C3-C$18)*100/C$18</f>
        <v>36.5957446808511</v>
      </c>
    </row>
    <row r="4" customFormat="false" ht="15.75" hidden="false" customHeight="true" outlineLevel="0" collapsed="false">
      <c r="A4" s="9" t="s">
        <v>17</v>
      </c>
      <c r="B4" s="9" t="n">
        <v>4269.48</v>
      </c>
      <c r="C4" s="8" t="n">
        <f aca="false">VLOOKUP(A4, Sheet1!A:B, 2, FALSE())</f>
        <v>54.8</v>
      </c>
      <c r="D4" s="5" t="n">
        <f aca="false">(B4-B$18)*100/B$18</f>
        <v>29.8867079596481</v>
      </c>
      <c r="E4" s="5" t="n">
        <f aca="false">(C4-C$18)*100/C$18</f>
        <v>16.5957446808511</v>
      </c>
    </row>
    <row r="5" customFormat="false" ht="15.75" hidden="false" customHeight="true" outlineLevel="0" collapsed="false">
      <c r="A5" s="9" t="s">
        <v>15</v>
      </c>
      <c r="B5" s="9" t="n">
        <v>4106.34</v>
      </c>
      <c r="C5" s="8" t="n">
        <f aca="false">VLOOKUP(A5, Sheet1!A:B, 2, FALSE())</f>
        <v>80.5</v>
      </c>
      <c r="D5" s="5" t="n">
        <f aca="false">(B5-B$18)*100/B$18</f>
        <v>24.9236404346715</v>
      </c>
      <c r="E5" s="5" t="n">
        <f aca="false">(C5-C$18)*100/C$18</f>
        <v>71.2765957446809</v>
      </c>
    </row>
    <row r="6" customFormat="false" ht="15.75" hidden="false" customHeight="true" outlineLevel="0" collapsed="false">
      <c r="A6" s="9" t="s">
        <v>14</v>
      </c>
      <c r="B6" s="9" t="n">
        <v>4076.16</v>
      </c>
      <c r="C6" s="8" t="n">
        <f aca="false">VLOOKUP(A6, Sheet1!A:B, 2, FALSE())</f>
        <v>74.8</v>
      </c>
      <c r="D6" s="5" t="n">
        <f aca="false">(B6-B$18)*100/B$18</f>
        <v>24.0055003224747</v>
      </c>
      <c r="E6" s="5" t="n">
        <f aca="false">(C6-C$18)*100/C$18</f>
        <v>59.1489361702128</v>
      </c>
    </row>
    <row r="7" customFormat="false" ht="15.75" hidden="false" customHeight="true" outlineLevel="0" collapsed="false">
      <c r="A7" s="9" t="s">
        <v>18</v>
      </c>
      <c r="B7" s="9" t="n">
        <v>4005.27</v>
      </c>
      <c r="C7" s="8" t="n">
        <f aca="false">VLOOKUP(A7, Sheet1!A:B, 2, FALSE())</f>
        <v>54.8</v>
      </c>
      <c r="D7" s="5" t="n">
        <f aca="false">(B7-B$18)*100/B$18</f>
        <v>21.8488749893523</v>
      </c>
      <c r="E7" s="5" t="n">
        <f aca="false">(C7-C$18)*100/C$18</f>
        <v>16.5957446808511</v>
      </c>
    </row>
    <row r="8" customFormat="false" ht="15.75" hidden="false" customHeight="true" outlineLevel="0" collapsed="false">
      <c r="A8" s="9" t="s">
        <v>20</v>
      </c>
      <c r="B8" s="9" t="n">
        <v>3945.23</v>
      </c>
      <c r="C8" s="8" t="n">
        <f aca="false">VLOOKUP(A8, Sheet1!A:B, 2, FALSE())</f>
        <v>53.9</v>
      </c>
      <c r="D8" s="5" t="n">
        <f aca="false">(B8-B$18)*100/B$18</f>
        <v>20.0223298489845</v>
      </c>
      <c r="E8" s="5" t="n">
        <f aca="false">(C8-C$18)*100/C$18</f>
        <v>14.6808510638298</v>
      </c>
    </row>
    <row r="9" customFormat="false" ht="15.75" hidden="false" customHeight="true" outlineLevel="0" collapsed="false">
      <c r="A9" s="9" t="s">
        <v>26</v>
      </c>
      <c r="B9" s="9" t="n">
        <v>3852.5</v>
      </c>
      <c r="C9" s="8" t="n">
        <f aca="false">VLOOKUP(A9, Sheet1!A:B, 2, FALSE())</f>
        <v>68.5</v>
      </c>
      <c r="D9" s="5" t="n">
        <f aca="false">(B9-B$18)*100/B$18</f>
        <v>17.2012850310914</v>
      </c>
      <c r="E9" s="5" t="n">
        <f aca="false">(C9-C$18)*100/C$18</f>
        <v>45.7446808510638</v>
      </c>
    </row>
    <row r="10" customFormat="false" ht="15.75" hidden="false" customHeight="true" outlineLevel="0" collapsed="false">
      <c r="A10" s="9" t="s">
        <v>21</v>
      </c>
      <c r="B10" s="9" t="n">
        <v>3829.17</v>
      </c>
      <c r="C10" s="8" t="n">
        <f aca="false">VLOOKUP(A10, Sheet1!A:B, 2, FALSE())</f>
        <v>56</v>
      </c>
      <c r="D10" s="5" t="n">
        <f aca="false">(B10-B$18)*100/B$18</f>
        <v>16.491536561325</v>
      </c>
      <c r="E10" s="5" t="n">
        <f aca="false">(C10-C$18)*100/C$18</f>
        <v>19.1489361702128</v>
      </c>
    </row>
    <row r="11" customFormat="false" ht="15.75" hidden="false" customHeight="true" outlineLevel="0" collapsed="false">
      <c r="A11" s="9" t="s">
        <v>16</v>
      </c>
      <c r="B11" s="9" t="n">
        <v>3645.41</v>
      </c>
      <c r="C11" s="8" t="n">
        <f aca="false">VLOOKUP(A11, Sheet1!A:B, 2, FALSE())</f>
        <v>59.3</v>
      </c>
      <c r="D11" s="5" t="n">
        <f aca="false">(B11-B$18)*100/B$18</f>
        <v>10.9011645594266</v>
      </c>
      <c r="E11" s="5" t="n">
        <f aca="false">(C11-C$18)*100/C$18</f>
        <v>26.1702127659574</v>
      </c>
    </row>
    <row r="12" customFormat="false" ht="15.75" hidden="false" customHeight="true" outlineLevel="0" collapsed="false">
      <c r="A12" s="9" t="s">
        <v>23</v>
      </c>
      <c r="B12" s="9" t="n">
        <v>3572.87</v>
      </c>
      <c r="C12" s="8" t="n">
        <f aca="false">VLOOKUP(A12, Sheet1!A:B, 2, FALSE())</f>
        <v>50.8</v>
      </c>
      <c r="D12" s="5" t="n">
        <f aca="false">(B12-B$18)*100/B$18</f>
        <v>8.69434269929542</v>
      </c>
      <c r="E12" s="5" t="n">
        <f aca="false">(C12-C$18)*100/C$18</f>
        <v>8.08510638297872</v>
      </c>
    </row>
    <row r="13" customFormat="false" ht="15.75" hidden="false" customHeight="true" outlineLevel="0" collapsed="false">
      <c r="A13" s="9" t="s">
        <v>33</v>
      </c>
      <c r="B13" s="9" t="n">
        <v>3520.47</v>
      </c>
      <c r="C13" s="8" t="n">
        <f aca="false">VLOOKUP(A13, Sheet1!A:B, 2, FALSE())</f>
        <v>46.8</v>
      </c>
      <c r="D13" s="5" t="n">
        <f aca="false">(B13-B$18)*100/B$18</f>
        <v>7.10022269004709</v>
      </c>
      <c r="E13" s="5" t="n">
        <f aca="false">(C13-C$18)*100/C$18</f>
        <v>-0.425531914893623</v>
      </c>
    </row>
    <row r="14" customFormat="false" ht="15.75" hidden="false" customHeight="true" outlineLevel="0" collapsed="false">
      <c r="A14" s="9" t="s">
        <v>35</v>
      </c>
      <c r="B14" s="9" t="n">
        <v>3447.98</v>
      </c>
      <c r="C14" s="8" t="n">
        <f aca="false">VLOOKUP(A14, Sheet1!A:B, 2, FALSE())</f>
        <v>43.9</v>
      </c>
      <c r="D14" s="5" t="n">
        <f aca="false">(B14-B$18)*100/B$18</f>
        <v>4.89492193679497</v>
      </c>
      <c r="E14" s="5" t="n">
        <f aca="false">(C14-C$18)*100/C$18</f>
        <v>-6.59574468085107</v>
      </c>
    </row>
    <row r="15" customFormat="false" ht="15.75" hidden="false" customHeight="true" outlineLevel="0" collapsed="false">
      <c r="A15" s="9" t="s">
        <v>24</v>
      </c>
      <c r="B15" s="9" t="n">
        <v>3441.52</v>
      </c>
      <c r="C15" s="8" t="n">
        <f aca="false">VLOOKUP(A15, Sheet1!A:B, 2, FALSE())</f>
        <v>57.4</v>
      </c>
      <c r="D15" s="5" t="n">
        <f aca="false">(B15-B$18)*100/B$18</f>
        <v>4.69839492802122</v>
      </c>
      <c r="E15" s="5" t="n">
        <f aca="false">(C15-C$18)*100/C$18</f>
        <v>22.1276595744681</v>
      </c>
    </row>
    <row r="16" customFormat="false" ht="15.75" hidden="false" customHeight="true" outlineLevel="0" collapsed="false">
      <c r="A16" s="9" t="s">
        <v>19</v>
      </c>
      <c r="B16" s="9" t="n">
        <v>3372.51</v>
      </c>
      <c r="C16" s="8" t="n">
        <f aca="false">VLOOKUP(A16, Sheet1!A:B, 2, FALSE())</f>
        <v>44.1</v>
      </c>
      <c r="D16" s="5" t="n">
        <f aca="false">(B16-B$18)*100/B$18</f>
        <v>2.59896321355125</v>
      </c>
      <c r="E16" s="5" t="n">
        <f aca="false">(C16-C$18)*100/C$18</f>
        <v>-6.17021276595744</v>
      </c>
    </row>
    <row r="17" customFormat="false" ht="15.75" hidden="false" customHeight="true" outlineLevel="0" collapsed="false">
      <c r="A17" s="9" t="s">
        <v>22</v>
      </c>
      <c r="B17" s="9" t="n">
        <v>3301.93</v>
      </c>
      <c r="C17" s="8" t="n">
        <f aca="false">VLOOKUP(A17, Sheet1!A:B, 2, FALSE())</f>
        <v>64.8</v>
      </c>
      <c r="D17" s="5" t="n">
        <f aca="false">(B17-B$18)*100/B$18</f>
        <v>0.451768743078961</v>
      </c>
      <c r="E17" s="5" t="n">
        <f aca="false">(C17-C$18)*100/C$18</f>
        <v>37.8723404255319</v>
      </c>
    </row>
    <row r="18" customFormat="false" ht="15.75" hidden="false" customHeight="true" outlineLevel="0" collapsed="false">
      <c r="A18" s="9" t="s">
        <v>25</v>
      </c>
      <c r="B18" s="9" t="n">
        <v>3287.08</v>
      </c>
      <c r="C18" s="8" t="n">
        <f aca="false">VLOOKUP(A18, Sheet1!A:B, 2, FALSE())</f>
        <v>47</v>
      </c>
      <c r="D18" s="5" t="n">
        <f aca="false">(B18-B$18)*100/B$18</f>
        <v>0</v>
      </c>
      <c r="E18" s="5" t="n">
        <f aca="false">(C18-C$18)*100/C$18</f>
        <v>0</v>
      </c>
    </row>
    <row r="19" customFormat="false" ht="15.75" hidden="false" customHeight="true" outlineLevel="0" collapsed="false">
      <c r="A19" s="9" t="s">
        <v>29</v>
      </c>
      <c r="B19" s="9" t="n">
        <v>3072.84</v>
      </c>
      <c r="C19" s="8" t="n">
        <f aca="false">VLOOKUP(A19, Sheet1!A:B, 2, FALSE())</f>
        <v>44.7</v>
      </c>
      <c r="D19" s="5" t="n">
        <f aca="false">(B19-B$18)*100/B$18</f>
        <v>-6.5176387553695</v>
      </c>
      <c r="E19" s="5" t="n">
        <f aca="false">(C19-C$18)*100/C$18</f>
        <v>-4.89361702127659</v>
      </c>
    </row>
    <row r="20" customFormat="false" ht="15.75" hidden="false" customHeight="true" outlineLevel="0" collapsed="false">
      <c r="A20" s="9" t="s">
        <v>31</v>
      </c>
      <c r="B20" s="9" t="n">
        <v>3038.11</v>
      </c>
      <c r="C20" s="8" t="n">
        <f aca="false">VLOOKUP(A20, Sheet1!A:B, 2, FALSE())</f>
        <v>46.6</v>
      </c>
      <c r="D20" s="5" t="n">
        <f aca="false">(B20-B$18)*100/B$18</f>
        <v>-7.57419959356024</v>
      </c>
      <c r="E20" s="5" t="n">
        <f aca="false">(C20-C$18)*100/C$18</f>
        <v>-0.851063829787231</v>
      </c>
    </row>
    <row r="21" customFormat="false" ht="15.75" hidden="false" customHeight="true" outlineLevel="0" collapsed="false">
      <c r="A21" s="9" t="s">
        <v>32</v>
      </c>
      <c r="B21" s="9" t="n">
        <v>2987.09</v>
      </c>
      <c r="C21" s="8" t="n">
        <f aca="false">VLOOKUP(A21, Sheet1!A:B, 2, FALSE())</f>
        <v>46.3</v>
      </c>
      <c r="D21" s="5" t="n">
        <f aca="false">(B21-B$18)*100/B$18</f>
        <v>-9.12633705294668</v>
      </c>
      <c r="E21" s="5" t="n">
        <f aca="false">(C21-C$18)*100/C$18</f>
        <v>-1.48936170212767</v>
      </c>
    </row>
    <row r="22" customFormat="false" ht="15.75" hidden="false" customHeight="true" outlineLevel="0" collapsed="false">
      <c r="A22" s="9" t="s">
        <v>39</v>
      </c>
      <c r="B22" s="9" t="n">
        <v>2818.77</v>
      </c>
      <c r="C22" s="8" t="n">
        <f aca="false">VLOOKUP(A22, Sheet1!A:B, 2, FALSE())</f>
        <v>35.1</v>
      </c>
      <c r="D22" s="5" t="n">
        <f aca="false">(B22-B$18)*100/B$18</f>
        <v>-14.2469912505932</v>
      </c>
      <c r="E22" s="5" t="n">
        <f aca="false">(C22-C$18)*100/C$18</f>
        <v>-25.3191489361702</v>
      </c>
    </row>
    <row r="23" customFormat="false" ht="15.75" hidden="false" customHeight="true" outlineLevel="0" collapsed="false">
      <c r="A23" s="9" t="s">
        <v>30</v>
      </c>
      <c r="B23" s="9" t="n">
        <v>2798.06</v>
      </c>
      <c r="C23" s="8" t="n">
        <f aca="false">VLOOKUP(A23, Sheet1!A:B, 2, FALSE())</f>
        <v>47.2</v>
      </c>
      <c r="D23" s="5" t="n">
        <f aca="false">(B23-B$18)*100/B$18</f>
        <v>-14.8770337198973</v>
      </c>
      <c r="E23" s="5" t="n">
        <f aca="false">(C23-C$18)*100/C$18</f>
        <v>0.425531914893623</v>
      </c>
    </row>
    <row r="24" customFormat="false" ht="15.75" hidden="false" customHeight="true" outlineLevel="0" collapsed="false">
      <c r="A24" s="9" t="s">
        <v>28</v>
      </c>
      <c r="B24" s="9" t="n">
        <v>2786.82</v>
      </c>
      <c r="C24" s="8" t="n">
        <f aca="false">VLOOKUP(A24, Sheet1!A:B, 2, FALSE())</f>
        <v>49.3</v>
      </c>
      <c r="D24" s="5" t="n">
        <f aca="false">(B24-B$18)*100/B$18</f>
        <v>-15.2189785463086</v>
      </c>
      <c r="E24" s="5" t="n">
        <f aca="false">(C24-C$18)*100/C$18</f>
        <v>4.89361702127659</v>
      </c>
    </row>
    <row r="25" customFormat="false" ht="15.75" hidden="false" customHeight="true" outlineLevel="0" collapsed="false">
      <c r="A25" s="9" t="s">
        <v>34</v>
      </c>
      <c r="B25" s="9" t="n">
        <v>2785.28</v>
      </c>
      <c r="C25" s="8" t="n">
        <f aca="false">VLOOKUP(A25, Sheet1!A:B, 2, FALSE())</f>
        <v>45.7</v>
      </c>
      <c r="D25" s="5" t="n">
        <f aca="false">(B25-B$18)*100/B$18</f>
        <v>-15.2658286381834</v>
      </c>
      <c r="E25" s="5" t="n">
        <f aca="false">(C25-C$18)*100/C$18</f>
        <v>-2.7659574468085</v>
      </c>
    </row>
    <row r="26" customFormat="false" ht="15.75" hidden="false" customHeight="true" outlineLevel="0" collapsed="false">
      <c r="A26" s="9" t="s">
        <v>27</v>
      </c>
      <c r="B26" s="9" t="n">
        <v>2734.78</v>
      </c>
      <c r="C26" s="8" t="n">
        <f aca="false">VLOOKUP(A26, Sheet1!A:B, 2, FALSE())</f>
        <v>33.3</v>
      </c>
      <c r="D26" s="5" t="n">
        <f aca="false">(B26-B$18)*100/B$18</f>
        <v>-16.8021465860277</v>
      </c>
      <c r="E26" s="5" t="n">
        <f aca="false">(C26-C$18)*100/C$18</f>
        <v>-29.1489361702128</v>
      </c>
    </row>
    <row r="27" customFormat="false" ht="15.75" hidden="false" customHeight="true" outlineLevel="0" collapsed="false">
      <c r="A27" s="9" t="s">
        <v>38</v>
      </c>
      <c r="B27" s="9" t="n">
        <v>2495.16</v>
      </c>
      <c r="C27" s="8" t="n">
        <f aca="false">VLOOKUP(A27, Sheet1!A:B, 2, FALSE())</f>
        <v>37</v>
      </c>
      <c r="D27" s="5" t="n">
        <f aca="false">(B27-B$18)*100/B$18</f>
        <v>-24.0918991932049</v>
      </c>
      <c r="E27" s="5" t="n">
        <f aca="false">(C27-C$18)*100/C$18</f>
        <v>-21.2765957446809</v>
      </c>
    </row>
    <row r="28" customFormat="false" ht="15.75" hidden="false" customHeight="true" outlineLevel="0" collapsed="false">
      <c r="A28" s="9" t="s">
        <v>36</v>
      </c>
      <c r="B28" s="9" t="n">
        <v>2410.53</v>
      </c>
      <c r="C28" s="8" t="n">
        <f aca="false">VLOOKUP(A28, Sheet1!A:B, 2, FALSE())</f>
        <v>45.8</v>
      </c>
      <c r="D28" s="5" t="n">
        <f aca="false">(B28-B$18)*100/B$18</f>
        <v>-26.6665246966913</v>
      </c>
      <c r="E28" s="5" t="n">
        <f aca="false">(C28-C$18)*100/C$18</f>
        <v>-2.55319148936171</v>
      </c>
    </row>
    <row r="29" customFormat="false" ht="15.75" hidden="false" customHeight="true" outlineLevel="0" collapsed="false">
      <c r="A29" s="9" t="s">
        <v>44</v>
      </c>
      <c r="B29" s="9" t="n">
        <v>2386.32</v>
      </c>
      <c r="C29" s="8" t="n">
        <f aca="false">VLOOKUP(A29, Sheet1!A:B, 2, FALSE())</f>
        <v>30.3</v>
      </c>
      <c r="D29" s="5" t="n">
        <f aca="false">(B29-B$18)*100/B$18</f>
        <v>-27.4030446475291</v>
      </c>
      <c r="E29" s="5" t="n">
        <f aca="false">(C29-C$18)*100/C$18</f>
        <v>-35.531914893617</v>
      </c>
    </row>
    <row r="30" customFormat="false" ht="15.75" hidden="false" customHeight="true" outlineLevel="0" collapsed="false">
      <c r="A30" s="9" t="s">
        <v>40</v>
      </c>
      <c r="B30" s="9" t="n">
        <v>2092.09</v>
      </c>
      <c r="C30" s="8" t="n">
        <f aca="false">VLOOKUP(A30, Sheet1!A:B, 2, FALSE())</f>
        <v>32.1</v>
      </c>
      <c r="D30" s="5" t="n">
        <f aca="false">(B30-B$18)*100/B$18</f>
        <v>-36.3541501880088</v>
      </c>
      <c r="E30" s="5" t="n">
        <f aca="false">(C30-C$18)*100/C$18</f>
        <v>-31.7021276595745</v>
      </c>
    </row>
    <row r="31" customFormat="false" ht="15.75" hidden="false" customHeight="true" outlineLevel="0" collapsed="false">
      <c r="A31" s="9" t="s">
        <v>37</v>
      </c>
      <c r="B31" s="9" t="n">
        <v>2068.7</v>
      </c>
      <c r="C31" s="8" t="n">
        <f aca="false">VLOOKUP(A31, Sheet1!A:B, 2, FALSE())</f>
        <v>30.2</v>
      </c>
      <c r="D31" s="5" t="n">
        <f aca="false">(B31-B$18)*100/B$18</f>
        <v>-37.0657239860302</v>
      </c>
      <c r="E31" s="5" t="n">
        <f aca="false">(C31-C$18)*100/C$18</f>
        <v>-35.7446808510638</v>
      </c>
    </row>
    <row r="32" customFormat="false" ht="15.75" hidden="false" customHeight="true" outlineLevel="0" collapsed="false">
      <c r="A32" s="9" t="s">
        <v>41</v>
      </c>
      <c r="B32" s="9" t="n">
        <v>2042.2</v>
      </c>
      <c r="C32" s="8" t="n">
        <f aca="false">VLOOKUP(A32, Sheet1!A:B, 2, FALSE())</f>
        <v>38.1</v>
      </c>
      <c r="D32" s="5" t="n">
        <f aca="false">(B32-B$18)*100/B$18</f>
        <v>-37.8719106319286</v>
      </c>
      <c r="E32" s="5" t="n">
        <f aca="false">(C32-C$18)*100/C$18</f>
        <v>-18.936170212766</v>
      </c>
    </row>
    <row r="33" customFormat="false" ht="15.75" hidden="false" customHeight="true" outlineLevel="0" collapsed="false">
      <c r="A33" s="9" t="s">
        <v>45</v>
      </c>
      <c r="B33" s="9" t="n">
        <v>1886.76</v>
      </c>
      <c r="C33" s="8" t="n">
        <f aca="false">VLOOKUP(A33, Sheet1!A:B, 2, FALSE())</f>
        <v>42.4</v>
      </c>
      <c r="D33" s="5" t="n">
        <f aca="false">(B33-B$18)*100/B$18</f>
        <v>-42.6007276975309</v>
      </c>
      <c r="E33" s="5" t="n">
        <f aca="false">(C33-C$18)*100/C$18</f>
        <v>-9.7872340425532</v>
      </c>
    </row>
    <row r="34" customFormat="false" ht="15.75" hidden="false" customHeight="true" outlineLevel="0" collapsed="false">
      <c r="A34" s="9" t="s">
        <v>43</v>
      </c>
      <c r="B34" s="9" t="n">
        <v>1838.18</v>
      </c>
      <c r="C34" s="8" t="n">
        <f aca="false">VLOOKUP(A34, Sheet1!A:B, 2, FALSE())</f>
        <v>41.9</v>
      </c>
      <c r="D34" s="5" t="n">
        <f aca="false">(B34-B$18)*100/B$18</f>
        <v>-44.0786351412196</v>
      </c>
      <c r="E34" s="5" t="n">
        <f aca="false">(C34-C$18)*100/C$18</f>
        <v>-10.8510638297872</v>
      </c>
    </row>
    <row r="35" customFormat="false" ht="15.75" hidden="false" customHeight="true" outlineLevel="0" collapsed="false">
      <c r="A35" s="9" t="s">
        <v>47</v>
      </c>
      <c r="B35" s="9" t="n">
        <v>1701.33</v>
      </c>
      <c r="C35" s="8" t="n">
        <f aca="false">VLOOKUP(A35, Sheet1!A:B, 2, FALSE())</f>
        <v>37</v>
      </c>
      <c r="D35" s="5" t="n">
        <f aca="false">(B35-B$18)*100/B$18</f>
        <v>-48.2419046691897</v>
      </c>
      <c r="E35" s="5" t="n">
        <f aca="false">(C35-C$18)*100/C$18</f>
        <v>-21.2765957446809</v>
      </c>
    </row>
    <row r="36" customFormat="false" ht="15.75" hidden="false" customHeight="true" outlineLevel="0" collapsed="false">
      <c r="A36" s="9" t="s">
        <v>49</v>
      </c>
      <c r="B36" s="9" t="n">
        <v>1701.32</v>
      </c>
      <c r="C36" s="8" t="n">
        <f aca="false">VLOOKUP(A36, Sheet1!A:B, 2, FALSE())</f>
        <v>37.2</v>
      </c>
      <c r="D36" s="5" t="n">
        <f aca="false">(B36-B$18)*100/B$18</f>
        <v>-48.2422088905655</v>
      </c>
      <c r="E36" s="5" t="n">
        <f aca="false">(C36-C$18)*100/C$18</f>
        <v>-20.8510638297872</v>
      </c>
    </row>
    <row r="37" customFormat="false" ht="15.75" hidden="false" customHeight="true" outlineLevel="0" collapsed="false">
      <c r="A37" s="9" t="s">
        <v>42</v>
      </c>
      <c r="B37" s="9" t="n">
        <v>1688.65</v>
      </c>
      <c r="C37" s="8" t="n">
        <f aca="false">VLOOKUP(A37, Sheet1!A:B, 2, FALSE())</f>
        <v>39.2</v>
      </c>
      <c r="D37" s="5" t="n">
        <f aca="false">(B37-B$18)*100/B$18</f>
        <v>-48.6276573737177</v>
      </c>
      <c r="E37" s="5" t="n">
        <f aca="false">(C37-C$18)*100/C$18</f>
        <v>-16.5957446808511</v>
      </c>
    </row>
    <row r="38" customFormat="false" ht="15.75" hidden="false" customHeight="true" outlineLevel="0" collapsed="false">
      <c r="A38" s="9" t="s">
        <v>48</v>
      </c>
      <c r="B38" s="9" t="n">
        <v>1644.77</v>
      </c>
      <c r="C38" s="8" t="n">
        <f aca="false">VLOOKUP(A38, Sheet1!A:B, 2, FALSE())</f>
        <v>32.6</v>
      </c>
      <c r="D38" s="5" t="n">
        <f aca="false">(B38-B$18)*100/B$18</f>
        <v>-49.9625807707753</v>
      </c>
      <c r="E38" s="5" t="n">
        <f aca="false">(C38-C$18)*100/C$18</f>
        <v>-30.6382978723404</v>
      </c>
    </row>
    <row r="39" customFormat="false" ht="15.75" hidden="false" customHeight="true" outlineLevel="0" collapsed="false">
      <c r="A39" s="9" t="s">
        <v>51</v>
      </c>
      <c r="B39" s="9" t="n">
        <v>1632.99</v>
      </c>
      <c r="C39" s="8" t="n">
        <f aca="false">VLOOKUP(A39, Sheet1!A:B, 2, FALSE())</f>
        <v>32.6</v>
      </c>
      <c r="D39" s="5" t="n">
        <f aca="false">(B39-B$18)*100/B$18</f>
        <v>-50.3209535514803</v>
      </c>
      <c r="E39" s="5" t="n">
        <f aca="false">(C39-C$18)*100/C$18</f>
        <v>-30.6382978723404</v>
      </c>
    </row>
    <row r="40" customFormat="false" ht="15.75" hidden="false" customHeight="true" outlineLevel="0" collapsed="false">
      <c r="A40" s="9" t="s">
        <v>46</v>
      </c>
      <c r="B40" s="9" t="n">
        <v>1537.8</v>
      </c>
      <c r="C40" s="8" t="n">
        <f aca="false">VLOOKUP(A40, Sheet1!A:B, 2, FALSE())</f>
        <v>43.3</v>
      </c>
      <c r="D40" s="5" t="n">
        <f aca="false">(B40-B$18)*100/B$18</f>
        <v>-53.2168368278229</v>
      </c>
      <c r="E40" s="5" t="n">
        <f aca="false">(C40-C$18)*100/C$18</f>
        <v>-7.87234042553192</v>
      </c>
    </row>
    <row r="41" customFormat="false" ht="15.75" hidden="false" customHeight="true" outlineLevel="0" collapsed="false">
      <c r="A41" s="9" t="s">
        <v>52</v>
      </c>
      <c r="B41" s="9" t="n">
        <v>1516.63</v>
      </c>
      <c r="C41" s="8" t="n">
        <f aca="false">VLOOKUP(A41, Sheet1!A:B, 2, FALSE())</f>
        <v>35.2</v>
      </c>
      <c r="D41" s="5" t="n">
        <f aca="false">(B41-B$18)*100/B$18</f>
        <v>-53.8608734804142</v>
      </c>
      <c r="E41" s="5" t="n">
        <f aca="false">(C41-C$18)*100/C$18</f>
        <v>-25.1063829787234</v>
      </c>
    </row>
    <row r="42" customFormat="false" ht="15.75" hidden="false" customHeight="true" outlineLevel="0" collapsed="false">
      <c r="A42" s="9" t="s">
        <v>50</v>
      </c>
      <c r="B42" s="9" t="n">
        <v>1458.62</v>
      </c>
      <c r="C42" s="8" t="n">
        <f aca="false">VLOOKUP(A42, Sheet1!A:B, 2, FALSE())</f>
        <v>33.5</v>
      </c>
      <c r="D42" s="5" t="n">
        <f aca="false">(B42-B$18)*100/B$18</f>
        <v>-55.6256616814924</v>
      </c>
      <c r="E42" s="5" t="n">
        <f aca="false">(C42-C$18)*100/C$18</f>
        <v>-28.7234042553192</v>
      </c>
    </row>
    <row r="43" customFormat="false" ht="15.75" hidden="false" customHeight="true" outlineLevel="0" collapsed="false">
      <c r="A43" s="9" t="s">
        <v>53</v>
      </c>
      <c r="B43" s="9" t="n">
        <v>1414.5</v>
      </c>
      <c r="C43" s="8" t="n">
        <f aca="false">VLOOKUP(A43, Sheet1!A:B, 2, FALSE())</f>
        <v>27</v>
      </c>
      <c r="D43" s="5" t="n">
        <f aca="false">(B43-B$18)*100/B$18</f>
        <v>-56.9678863915694</v>
      </c>
      <c r="E43" s="5" t="n">
        <f aca="false">(C43-C$18)*100/C$18</f>
        <v>-42.5531914893617</v>
      </c>
    </row>
    <row r="44" customFormat="false" ht="15.75" hidden="false" customHeight="true" outlineLevel="0" collapsed="false">
      <c r="A44" s="9" t="s">
        <v>56</v>
      </c>
      <c r="B44" s="9" t="n">
        <v>1388.08</v>
      </c>
      <c r="C44" s="8" t="n">
        <f aca="false">VLOOKUP(A44, Sheet1!A:B, 2, FALSE())</f>
        <v>33.5</v>
      </c>
      <c r="D44" s="5" t="n">
        <f aca="false">(B44-B$18)*100/B$18</f>
        <v>-57.7716392664614</v>
      </c>
      <c r="E44" s="5" t="n">
        <f aca="false">(C44-C$18)*100/C$18</f>
        <v>-28.7234042553192</v>
      </c>
    </row>
    <row r="45" customFormat="false" ht="15.75" hidden="false" customHeight="true" outlineLevel="0" collapsed="false">
      <c r="A45" s="9" t="s">
        <v>57</v>
      </c>
      <c r="B45" s="9" t="n">
        <v>1298.51</v>
      </c>
      <c r="C45" s="8" t="n">
        <f aca="false">VLOOKUP(A45, Sheet1!A:B, 2, FALSE())</f>
        <v>32.7</v>
      </c>
      <c r="D45" s="5" t="n">
        <f aca="false">(B45-B$18)*100/B$18</f>
        <v>-60.4965501295983</v>
      </c>
      <c r="E45" s="5" t="n">
        <f aca="false">(C45-C$18)*100/C$18</f>
        <v>-30.4255319148936</v>
      </c>
    </row>
    <row r="46" customFormat="false" ht="15.75" hidden="false" customHeight="true" outlineLevel="0" collapsed="false">
      <c r="A46" s="9" t="s">
        <v>54</v>
      </c>
      <c r="B46" s="9" t="n">
        <v>1225.66</v>
      </c>
      <c r="C46" s="8" t="n">
        <f aca="false">VLOOKUP(A46, Sheet1!A:B, 2, FALSE())</f>
        <v>37.1</v>
      </c>
      <c r="D46" s="5" t="n">
        <f aca="false">(B46-B$18)*100/B$18</f>
        <v>-62.7128028523796</v>
      </c>
      <c r="E46" s="5" t="n">
        <f aca="false">(C46-C$18)*100/C$18</f>
        <v>-21.063829787234</v>
      </c>
    </row>
    <row r="47" customFormat="false" ht="15.75" hidden="false" customHeight="true" outlineLevel="0" collapsed="false">
      <c r="A47" s="9" t="s">
        <v>58</v>
      </c>
      <c r="B47" s="9" t="n">
        <v>1187.71</v>
      </c>
      <c r="C47" s="8" t="n">
        <f aca="false">VLOOKUP(A47, Sheet1!A:B, 2, FALSE())</f>
        <v>27.6</v>
      </c>
      <c r="D47" s="5" t="n">
        <f aca="false">(B47-B$18)*100/B$18</f>
        <v>-63.8673229735814</v>
      </c>
      <c r="E47" s="5" t="n">
        <f aca="false">(C47-C$18)*100/C$18</f>
        <v>-41.2765957446809</v>
      </c>
    </row>
    <row r="48" customFormat="false" ht="15.75" hidden="false" customHeight="true" outlineLevel="0" collapsed="false">
      <c r="A48" s="9" t="s">
        <v>55</v>
      </c>
      <c r="B48" s="9" t="n">
        <v>1180.91</v>
      </c>
      <c r="C48" s="8" t="n">
        <f aca="false">VLOOKUP(A48, Sheet1!A:B, 2, FALSE())</f>
        <v>33.6</v>
      </c>
      <c r="D48" s="5" t="n">
        <f aca="false">(B48-B$18)*100/B$18</f>
        <v>-64.0741935091327</v>
      </c>
      <c r="E48" s="5" t="n">
        <f aca="false">(C48-C$18)*100/C$18</f>
        <v>-28.5106382978723</v>
      </c>
    </row>
    <row r="49" customFormat="false" ht="15.75" hidden="false" customHeight="true" outlineLevel="0" collapsed="false">
      <c r="A49" s="9" t="s">
        <v>61</v>
      </c>
      <c r="B49" s="9" t="n">
        <v>1137.2</v>
      </c>
      <c r="C49" s="8" t="n">
        <f aca="false">VLOOKUP(A49, Sheet1!A:B, 2, FALSE())</f>
        <v>21</v>
      </c>
      <c r="D49" s="5" t="n">
        <f aca="false">(B49-B$18)*100/B$18</f>
        <v>-65.4039451428015</v>
      </c>
      <c r="E49" s="5" t="n">
        <f aca="false">(C49-C$18)*100/C$18</f>
        <v>-55.3191489361702</v>
      </c>
    </row>
    <row r="50" customFormat="false" ht="15.75" hidden="false" customHeight="true" outlineLevel="0" collapsed="false">
      <c r="A50" s="9" t="s">
        <v>65</v>
      </c>
      <c r="B50" s="9" t="n">
        <v>1129.59</v>
      </c>
      <c r="C50" s="8" t="n">
        <f aca="false">VLOOKUP(A50, Sheet1!A:B, 2, FALSE())</f>
        <v>26.4</v>
      </c>
      <c r="D50" s="5" t="n">
        <f aca="false">(B50-B$18)*100/B$18</f>
        <v>-65.6354576097935</v>
      </c>
      <c r="E50" s="5" t="n">
        <f aca="false">(C50-C$18)*100/C$18</f>
        <v>-43.8297872340426</v>
      </c>
    </row>
    <row r="51" customFormat="false" ht="15.75" hidden="false" customHeight="true" outlineLevel="0" collapsed="false">
      <c r="A51" s="9" t="s">
        <v>68</v>
      </c>
      <c r="B51" s="9" t="n">
        <v>1098.28</v>
      </c>
      <c r="C51" s="8" t="n">
        <f aca="false">VLOOKUP(A51, Sheet1!A:B, 2, FALSE())</f>
        <v>22.4</v>
      </c>
      <c r="D51" s="5" t="n">
        <f aca="false">(B51-B$18)*100/B$18</f>
        <v>-66.587974737457</v>
      </c>
      <c r="E51" s="5" t="n">
        <f aca="false">(C51-C$18)*100/C$18</f>
        <v>-52.3404255319149</v>
      </c>
    </row>
    <row r="52" customFormat="false" ht="15.75" hidden="false" customHeight="true" outlineLevel="0" collapsed="false">
      <c r="A52" s="9" t="s">
        <v>59</v>
      </c>
      <c r="B52" s="9" t="n">
        <v>1064.97</v>
      </c>
      <c r="C52" s="8" t="n">
        <f aca="false">VLOOKUP(A52, Sheet1!A:B, 2, FALSE())</f>
        <v>34.8</v>
      </c>
      <c r="D52" s="5" t="n">
        <f aca="false">(B52-B$18)*100/B$18</f>
        <v>-67.6013361402826</v>
      </c>
      <c r="E52" s="5" t="n">
        <f aca="false">(C52-C$18)*100/C$18</f>
        <v>-25.9574468085106</v>
      </c>
    </row>
    <row r="53" customFormat="false" ht="15.75" hidden="false" customHeight="true" outlineLevel="0" collapsed="false">
      <c r="A53" s="9" t="s">
        <v>60</v>
      </c>
      <c r="B53" s="9" t="n">
        <v>1029.74</v>
      </c>
      <c r="C53" s="8" t="n">
        <f aca="false">VLOOKUP(A53, Sheet1!A:B, 2, FALSE())</f>
        <v>35.9</v>
      </c>
      <c r="D53" s="5" t="n">
        <f aca="false">(B53-B$18)*100/B$18</f>
        <v>-68.6731080472638</v>
      </c>
      <c r="E53" s="5" t="n">
        <f aca="false">(C53-C$18)*100/C$18</f>
        <v>-23.6170212765958</v>
      </c>
    </row>
    <row r="54" customFormat="false" ht="15.75" hidden="false" customHeight="true" outlineLevel="0" collapsed="false">
      <c r="A54" s="9" t="s">
        <v>63</v>
      </c>
      <c r="B54" s="9" t="n">
        <v>996.61</v>
      </c>
      <c r="C54" s="8" t="n">
        <f aca="false">VLOOKUP(A54, Sheet1!A:B, 2, FALSE())</f>
        <v>40.5</v>
      </c>
      <c r="D54" s="5" t="n">
        <f aca="false">(B54-B$18)*100/B$18</f>
        <v>-69.6809934653249</v>
      </c>
      <c r="E54" s="5" t="n">
        <f aca="false">(C54-C$18)*100/C$18</f>
        <v>-13.8297872340426</v>
      </c>
    </row>
    <row r="55" customFormat="false" ht="15.75" hidden="false" customHeight="true" outlineLevel="0" collapsed="false">
      <c r="A55" s="9" t="s">
        <v>81</v>
      </c>
      <c r="B55" s="9" t="n">
        <v>930.84</v>
      </c>
      <c r="C55" s="8" t="n">
        <f aca="false">VLOOKUP(A55, Sheet1!A:B, 2, FALSE())</f>
        <v>25.8</v>
      </c>
      <c r="D55" s="5" t="n">
        <f aca="false">(B55-B$18)*100/B$18</f>
        <v>-71.6818574540321</v>
      </c>
      <c r="E55" s="5" t="n">
        <f aca="false">(C55-C$18)*100/C$18</f>
        <v>-45.1063829787234</v>
      </c>
    </row>
    <row r="56" customFormat="false" ht="15.75" hidden="false" customHeight="true" outlineLevel="0" collapsed="false">
      <c r="A56" s="9" t="s">
        <v>70</v>
      </c>
      <c r="B56" s="9" t="n">
        <v>927.5</v>
      </c>
      <c r="C56" s="8" t="n">
        <f aca="false">VLOOKUP(A56, Sheet1!A:B, 2, FALSE())</f>
        <v>35.2</v>
      </c>
      <c r="D56" s="5" t="n">
        <f aca="false">(B56-B$18)*100/B$18</f>
        <v>-71.7834673935529</v>
      </c>
      <c r="E56" s="5" t="n">
        <f aca="false">(C56-C$18)*100/C$18</f>
        <v>-25.1063829787234</v>
      </c>
    </row>
    <row r="57" customFormat="false" ht="15.75" hidden="false" customHeight="true" outlineLevel="0" collapsed="false">
      <c r="A57" s="9" t="s">
        <v>64</v>
      </c>
      <c r="B57" s="9" t="n">
        <v>920.03</v>
      </c>
      <c r="C57" s="8" t="n">
        <f aca="false">VLOOKUP(A57, Sheet1!A:B, 2, FALSE())</f>
        <v>30.4</v>
      </c>
      <c r="D57" s="5" t="n">
        <f aca="false">(B57-B$18)*100/B$18</f>
        <v>-72.0107207612836</v>
      </c>
      <c r="E57" s="5" t="n">
        <f aca="false">(C57-C$18)*100/C$18</f>
        <v>-35.3191489361702</v>
      </c>
    </row>
    <row r="58" customFormat="false" ht="15.75" hidden="false" customHeight="true" outlineLevel="0" collapsed="false">
      <c r="A58" s="9" t="s">
        <v>130</v>
      </c>
      <c r="B58" s="9" t="n">
        <v>897.13</v>
      </c>
      <c r="C58" s="8" t="n">
        <f aca="false">VLOOKUP(A58, Sheet1!A:B, 2, FALSE())</f>
        <v>36</v>
      </c>
      <c r="D58" s="5" t="n">
        <f aca="false">(B58-B$18)*100/B$18</f>
        <v>-72.7073877118902</v>
      </c>
      <c r="E58" s="5" t="n">
        <f aca="false">(C58-C$18)*100/C$18</f>
        <v>-23.4042553191489</v>
      </c>
    </row>
    <row r="59" customFormat="false" ht="15.75" hidden="false" customHeight="true" outlineLevel="0" collapsed="false">
      <c r="A59" s="9" t="s">
        <v>67</v>
      </c>
      <c r="B59" s="9" t="n">
        <v>888.27</v>
      </c>
      <c r="C59" s="8" t="n">
        <f aca="false">VLOOKUP(A59, Sheet1!A:B, 2, FALSE())</f>
        <v>28.5</v>
      </c>
      <c r="D59" s="5" t="n">
        <f aca="false">(B59-B$18)*100/B$18</f>
        <v>-72.9769278508585</v>
      </c>
      <c r="E59" s="5" t="n">
        <f aca="false">(C59-C$18)*100/C$18</f>
        <v>-39.3617021276596</v>
      </c>
    </row>
    <row r="60" customFormat="false" ht="15.75" hidden="false" customHeight="true" outlineLevel="0" collapsed="false">
      <c r="A60" s="9" t="s">
        <v>73</v>
      </c>
      <c r="B60" s="9" t="n">
        <v>826.22</v>
      </c>
      <c r="C60" s="8" t="n">
        <f aca="false">VLOOKUP(A60, Sheet1!A:B, 2, FALSE())</f>
        <v>31.9</v>
      </c>
      <c r="D60" s="5" t="n">
        <f aca="false">(B60-B$18)*100/B$18</f>
        <v>-74.8646214877642</v>
      </c>
      <c r="E60" s="5" t="n">
        <f aca="false">(C60-C$18)*100/C$18</f>
        <v>-32.1276595744681</v>
      </c>
    </row>
    <row r="61" customFormat="false" ht="15.75" hidden="false" customHeight="true" outlineLevel="0" collapsed="false">
      <c r="A61" s="9" t="s">
        <v>96</v>
      </c>
      <c r="B61" s="9" t="n">
        <v>823.76</v>
      </c>
      <c r="C61" s="8" t="n">
        <f aca="false">VLOOKUP(A61, Sheet1!A:B, 2, FALSE())</f>
        <v>11.6</v>
      </c>
      <c r="D61" s="5" t="n">
        <f aca="false">(B61-B$18)*100/B$18</f>
        <v>-74.9394599462137</v>
      </c>
      <c r="E61" s="5" t="n">
        <f aca="false">(C61-C$18)*100/C$18</f>
        <v>-75.3191489361702</v>
      </c>
    </row>
    <row r="62" customFormat="false" ht="15.75" hidden="false" customHeight="true" outlineLevel="0" collapsed="false">
      <c r="A62" s="9" t="s">
        <v>66</v>
      </c>
      <c r="B62" s="9" t="n">
        <v>792.5</v>
      </c>
      <c r="C62" s="8" t="n">
        <f aca="false">VLOOKUP(A62, Sheet1!A:B, 2, FALSE())</f>
        <v>27.1</v>
      </c>
      <c r="D62" s="5" t="n">
        <f aca="false">(B62-B$18)*100/B$18</f>
        <v>-75.8904559669981</v>
      </c>
      <c r="E62" s="5" t="n">
        <f aca="false">(C62-C$18)*100/C$18</f>
        <v>-42.3404255319149</v>
      </c>
    </row>
    <row r="63" customFormat="false" ht="15.75" hidden="false" customHeight="true" outlineLevel="0" collapsed="false">
      <c r="A63" s="9" t="s">
        <v>62</v>
      </c>
      <c r="B63" s="9" t="n">
        <v>791.88</v>
      </c>
      <c r="C63" s="8" t="n">
        <f aca="false">VLOOKUP(A63, Sheet1!A:B, 2, FALSE())</f>
        <v>27.4</v>
      </c>
      <c r="D63" s="5" t="n">
        <f aca="false">(B63-B$18)*100/B$18</f>
        <v>-75.9093176922983</v>
      </c>
      <c r="E63" s="5" t="n">
        <f aca="false">(C63-C$18)*100/C$18</f>
        <v>-41.7021276595745</v>
      </c>
    </row>
    <row r="64" customFormat="false" ht="15.75" hidden="false" customHeight="true" outlineLevel="0" collapsed="false">
      <c r="A64" s="9" t="s">
        <v>69</v>
      </c>
      <c r="B64" s="9" t="n">
        <v>774.99</v>
      </c>
      <c r="C64" s="8" t="n">
        <f aca="false">VLOOKUP(A64, Sheet1!A:B, 2, FALSE())</f>
        <v>24.2</v>
      </c>
      <c r="D64" s="5" t="n">
        <f aca="false">(B64-B$18)*100/B$18</f>
        <v>-76.4231475960427</v>
      </c>
      <c r="E64" s="5" t="n">
        <f aca="false">(C64-C$18)*100/C$18</f>
        <v>-48.5106382978723</v>
      </c>
    </row>
    <row r="65" customFormat="false" ht="15.75" hidden="false" customHeight="true" outlineLevel="0" collapsed="false">
      <c r="A65" s="9" t="s">
        <v>72</v>
      </c>
      <c r="B65" s="9" t="n">
        <v>741.51</v>
      </c>
      <c r="C65" s="8" t="n">
        <f aca="false">VLOOKUP(A65, Sheet1!A:B, 2, FALSE())</f>
        <v>25.9</v>
      </c>
      <c r="D65" s="5" t="n">
        <f aca="false">(B65-B$18)*100/B$18</f>
        <v>-77.4416807622571</v>
      </c>
      <c r="E65" s="5" t="n">
        <f aca="false">(C65-C$18)*100/C$18</f>
        <v>-44.8936170212766</v>
      </c>
    </row>
    <row r="66" customFormat="false" ht="15.75" hidden="false" customHeight="true" outlineLevel="0" collapsed="false">
      <c r="A66" s="9" t="s">
        <v>75</v>
      </c>
      <c r="B66" s="9" t="n">
        <v>716.25</v>
      </c>
      <c r="C66" s="8" t="n">
        <f aca="false">VLOOKUP(A66, Sheet1!A:B, 2, FALSE())</f>
        <v>24.6</v>
      </c>
      <c r="D66" s="5" t="n">
        <f aca="false">(B66-B$18)*100/B$18</f>
        <v>-78.210143957555</v>
      </c>
      <c r="E66" s="5" t="n">
        <f aca="false">(C66-C$18)*100/C$18</f>
        <v>-47.6595744680851</v>
      </c>
    </row>
    <row r="67" customFormat="false" ht="15.75" hidden="false" customHeight="true" outlineLevel="0" collapsed="false">
      <c r="A67" s="9" t="s">
        <v>79</v>
      </c>
      <c r="B67" s="9" t="n">
        <v>703</v>
      </c>
      <c r="C67" s="8" t="n">
        <f aca="false">VLOOKUP(A67, Sheet1!A:B, 2, FALSE())</f>
        <v>21.9</v>
      </c>
      <c r="D67" s="5" t="n">
        <f aca="false">(B67-B$18)*100/B$18</f>
        <v>-78.6132372805043</v>
      </c>
      <c r="E67" s="5" t="n">
        <f aca="false">(C67-C$18)*100/C$18</f>
        <v>-53.4042553191489</v>
      </c>
    </row>
    <row r="68" customFormat="false" ht="15.75" hidden="false" customHeight="true" outlineLevel="0" collapsed="false">
      <c r="A68" s="9" t="s">
        <v>76</v>
      </c>
      <c r="B68" s="9" t="n">
        <v>691.2</v>
      </c>
      <c r="C68" s="8" t="n">
        <f aca="false">VLOOKUP(A68, Sheet1!A:B, 2, FALSE())</f>
        <v>29.7</v>
      </c>
      <c r="D68" s="5" t="n">
        <f aca="false">(B68-B$18)*100/B$18</f>
        <v>-78.972218503961</v>
      </c>
      <c r="E68" s="5" t="n">
        <f aca="false">(C68-C$18)*100/C$18</f>
        <v>-36.8085106382979</v>
      </c>
    </row>
    <row r="69" customFormat="false" ht="15.75" hidden="false" customHeight="true" outlineLevel="0" collapsed="false">
      <c r="A69" s="9" t="s">
        <v>74</v>
      </c>
      <c r="B69" s="9" t="n">
        <v>644.82</v>
      </c>
      <c r="C69" s="8" t="n">
        <f aca="false">VLOOKUP(A69, Sheet1!A:B, 2, FALSE())</f>
        <v>25.3</v>
      </c>
      <c r="D69" s="5" t="n">
        <f aca="false">(B69-B$18)*100/B$18</f>
        <v>-80.3831972449712</v>
      </c>
      <c r="E69" s="5" t="n">
        <f aca="false">(C69-C$18)*100/C$18</f>
        <v>-46.1702127659574</v>
      </c>
    </row>
    <row r="70" customFormat="false" ht="15.75" hidden="false" customHeight="true" outlineLevel="0" collapsed="false">
      <c r="A70" s="9" t="s">
        <v>80</v>
      </c>
      <c r="B70" s="9" t="n">
        <v>644.53</v>
      </c>
      <c r="C70" s="8" t="n">
        <f aca="false">VLOOKUP(A70, Sheet1!A:B, 2, FALSE())</f>
        <v>22.7</v>
      </c>
      <c r="D70" s="5" t="n">
        <f aca="false">(B70-B$18)*100/B$18</f>
        <v>-80.3920196648697</v>
      </c>
      <c r="E70" s="5" t="n">
        <f aca="false">(C70-C$18)*100/C$18</f>
        <v>-51.7021276595745</v>
      </c>
    </row>
    <row r="71" customFormat="false" ht="15.75" hidden="false" customHeight="true" outlineLevel="0" collapsed="false">
      <c r="A71" s="9" t="s">
        <v>86</v>
      </c>
      <c r="B71" s="9" t="n">
        <v>632.23</v>
      </c>
      <c r="C71" s="8" t="n">
        <f aca="false">VLOOKUP(A71, Sheet1!A:B, 2, FALSE())</f>
        <v>25.8</v>
      </c>
      <c r="D71" s="5" t="n">
        <f aca="false">(B71-B$18)*100/B$18</f>
        <v>-80.766211957117</v>
      </c>
      <c r="E71" s="5" t="n">
        <f aca="false">(C71-C$18)*100/C$18</f>
        <v>-45.1063829787234</v>
      </c>
    </row>
    <row r="72" customFormat="false" ht="15.75" hidden="false" customHeight="true" outlineLevel="0" collapsed="false">
      <c r="A72" s="9" t="s">
        <v>78</v>
      </c>
      <c r="B72" s="9" t="n">
        <v>626.51</v>
      </c>
      <c r="C72" s="8" t="n">
        <f aca="false">VLOOKUP(A72, Sheet1!A:B, 2, FALSE())</f>
        <v>22</v>
      </c>
      <c r="D72" s="5" t="n">
        <f aca="false">(B72-B$18)*100/B$18</f>
        <v>-80.9402265840807</v>
      </c>
      <c r="E72" s="5" t="n">
        <f aca="false">(C72-C$18)*100/C$18</f>
        <v>-53.1914893617021</v>
      </c>
    </row>
    <row r="73" customFormat="false" ht="15.75" hidden="false" customHeight="true" outlineLevel="0" collapsed="false">
      <c r="A73" s="9" t="s">
        <v>132</v>
      </c>
      <c r="B73" s="9" t="n">
        <v>562.5</v>
      </c>
      <c r="C73" s="8" t="n">
        <f aca="false">VLOOKUP(A73, Sheet1!A:B, 2, FALSE())</f>
        <v>35</v>
      </c>
      <c r="D73" s="5" t="n">
        <f aca="false">(B73-B$18)*100/B$18</f>
        <v>-82.8875476106453</v>
      </c>
      <c r="E73" s="5" t="n">
        <f aca="false">(C73-C$18)*100/C$18</f>
        <v>-25.531914893617</v>
      </c>
    </row>
    <row r="74" customFormat="false" ht="15.75" hidden="false" customHeight="true" outlineLevel="0" collapsed="false">
      <c r="A74" s="9" t="s">
        <v>77</v>
      </c>
      <c r="B74" s="9" t="n">
        <v>557.97</v>
      </c>
      <c r="C74" s="8" t="n">
        <f aca="false">VLOOKUP(A74, Sheet1!A:B, 2, FALSE())</f>
        <v>29.1</v>
      </c>
      <c r="D74" s="5" t="n">
        <f aca="false">(B74-B$18)*100/B$18</f>
        <v>-83.0253598938876</v>
      </c>
      <c r="E74" s="5" t="n">
        <f aca="false">(C74-C$18)*100/C$18</f>
        <v>-38.0851063829787</v>
      </c>
    </row>
    <row r="75" customFormat="false" ht="15.75" hidden="false" customHeight="true" outlineLevel="0" collapsed="false">
      <c r="A75" s="9" t="s">
        <v>71</v>
      </c>
      <c r="B75" s="9" t="n">
        <v>557.94</v>
      </c>
      <c r="C75" s="8" t="n">
        <f aca="false">VLOOKUP(A75, Sheet1!A:B, 2, FALSE())</f>
        <v>30.2</v>
      </c>
      <c r="D75" s="5" t="n">
        <f aca="false">(B75-B$18)*100/B$18</f>
        <v>-83.026272558015</v>
      </c>
      <c r="E75" s="5" t="n">
        <f aca="false">(C75-C$18)*100/C$18</f>
        <v>-35.7446808510638</v>
      </c>
    </row>
    <row r="76" customFormat="false" ht="15.75" hidden="false" customHeight="true" outlineLevel="0" collapsed="false">
      <c r="A76" s="9" t="s">
        <v>84</v>
      </c>
      <c r="B76" s="9" t="n">
        <v>539.49</v>
      </c>
      <c r="C76" s="8" t="n">
        <f aca="false">VLOOKUP(A76, Sheet1!A:B, 2, FALSE())</f>
        <v>24.2</v>
      </c>
      <c r="D76" s="5" t="n">
        <f aca="false">(B76-B$18)*100/B$18</f>
        <v>-83.5875609963859</v>
      </c>
      <c r="E76" s="5" t="n">
        <f aca="false">(C76-C$18)*100/C$18</f>
        <v>-48.5106382978723</v>
      </c>
    </row>
    <row r="77" customFormat="false" ht="15.75" hidden="false" customHeight="true" outlineLevel="0" collapsed="false">
      <c r="A77" s="9" t="s">
        <v>85</v>
      </c>
      <c r="B77" s="9" t="n">
        <v>530.59</v>
      </c>
      <c r="C77" s="8" t="n">
        <f aca="false">VLOOKUP(A77, Sheet1!A:B, 2, FALSE())</f>
        <v>22.1</v>
      </c>
      <c r="D77" s="5" t="n">
        <f aca="false">(B77-B$18)*100/B$18</f>
        <v>-83.8583180208574</v>
      </c>
      <c r="E77" s="5" t="n">
        <f aca="false">(C77-C$18)*100/C$18</f>
        <v>-52.9787234042553</v>
      </c>
    </row>
    <row r="78" customFormat="false" ht="15.75" hidden="false" customHeight="true" outlineLevel="0" collapsed="false">
      <c r="A78" s="9" t="s">
        <v>83</v>
      </c>
      <c r="B78" s="9" t="n">
        <v>527.49</v>
      </c>
      <c r="C78" s="8" t="n">
        <f aca="false">VLOOKUP(A78, Sheet1!A:B, 2, FALSE())</f>
        <v>20.4</v>
      </c>
      <c r="D78" s="5" t="n">
        <f aca="false">(B78-B$18)*100/B$18</f>
        <v>-83.9526266473588</v>
      </c>
      <c r="E78" s="5" t="n">
        <f aca="false">(C78-C$18)*100/C$18</f>
        <v>-56.5957446808511</v>
      </c>
    </row>
    <row r="79" customFormat="false" ht="15.75" hidden="false" customHeight="true" outlineLevel="0" collapsed="false">
      <c r="A79" s="9" t="s">
        <v>91</v>
      </c>
      <c r="B79" s="9" t="n">
        <v>512.56</v>
      </c>
      <c r="C79" s="8" t="n">
        <f aca="false">VLOOKUP(A79, Sheet1!A:B, 2, FALSE())</f>
        <v>21.9</v>
      </c>
      <c r="D79" s="5" t="n">
        <f aca="false">(B79-B$18)*100/B$18</f>
        <v>-84.4068291614442</v>
      </c>
      <c r="E79" s="5" t="n">
        <f aca="false">(C79-C$18)*100/C$18</f>
        <v>-53.4042553191489</v>
      </c>
    </row>
    <row r="80" customFormat="false" ht="15.75" hidden="false" customHeight="true" outlineLevel="0" collapsed="false">
      <c r="A80" s="9" t="s">
        <v>88</v>
      </c>
      <c r="B80" s="9" t="n">
        <v>509.62</v>
      </c>
      <c r="C80" s="8" t="n">
        <f aca="false">VLOOKUP(A80, Sheet1!A:B, 2, FALSE())</f>
        <v>20.4</v>
      </c>
      <c r="D80" s="5" t="n">
        <f aca="false">(B80-B$18)*100/B$18</f>
        <v>-84.4962702459326</v>
      </c>
      <c r="E80" s="5" t="n">
        <f aca="false">(C80-C$18)*100/C$18</f>
        <v>-56.5957446808511</v>
      </c>
    </row>
    <row r="81" customFormat="false" ht="15.75" hidden="false" customHeight="true" outlineLevel="0" collapsed="false">
      <c r="A81" s="9" t="s">
        <v>92</v>
      </c>
      <c r="B81" s="9" t="n">
        <v>497.47</v>
      </c>
      <c r="C81" s="8" t="n">
        <f aca="false">VLOOKUP(A81, Sheet1!A:B, 2, FALSE())</f>
        <v>18.6</v>
      </c>
      <c r="D81" s="5" t="n">
        <f aca="false">(B81-B$18)*100/B$18</f>
        <v>-84.8658992175426</v>
      </c>
      <c r="E81" s="5" t="n">
        <f aca="false">(C81-C$18)*100/C$18</f>
        <v>-60.4255319148936</v>
      </c>
    </row>
    <row r="82" customFormat="false" ht="15.75" hidden="false" customHeight="true" outlineLevel="0" collapsed="false">
      <c r="A82" s="9" t="s">
        <v>90</v>
      </c>
      <c r="B82" s="9" t="n">
        <v>485.26</v>
      </c>
      <c r="C82" s="8" t="n">
        <f aca="false">VLOOKUP(A82, Sheet1!A:B, 2, FALSE())</f>
        <v>19.3</v>
      </c>
      <c r="D82" s="5" t="n">
        <f aca="false">(B82-B$18)*100/B$18</f>
        <v>-85.2373535174076</v>
      </c>
      <c r="E82" s="5" t="n">
        <f aca="false">(C82-C$18)*100/C$18</f>
        <v>-58.936170212766</v>
      </c>
    </row>
    <row r="83" customFormat="false" ht="15.75" hidden="false" customHeight="true" outlineLevel="0" collapsed="false">
      <c r="A83" s="9" t="s">
        <v>94</v>
      </c>
      <c r="B83" s="9" t="n">
        <v>478.72</v>
      </c>
      <c r="C83" s="8" t="n">
        <f aca="false">VLOOKUP(A83, Sheet1!A:B, 2, FALSE())</f>
        <v>20.4</v>
      </c>
      <c r="D83" s="5" t="n">
        <f aca="false">(B83-B$18)*100/B$18</f>
        <v>-85.4363142971878</v>
      </c>
      <c r="E83" s="5" t="n">
        <f aca="false">(C83-C$18)*100/C$18</f>
        <v>-56.5957446808511</v>
      </c>
    </row>
    <row r="84" customFormat="false" ht="15.75" hidden="false" customHeight="true" outlineLevel="0" collapsed="false">
      <c r="A84" s="9" t="s">
        <v>89</v>
      </c>
      <c r="B84" s="9" t="n">
        <v>469</v>
      </c>
      <c r="C84" s="8" t="n">
        <f aca="false">VLOOKUP(A84, Sheet1!A:B, 2, FALSE())</f>
        <v>20.4</v>
      </c>
      <c r="D84" s="5" t="n">
        <f aca="false">(B84-B$18)*100/B$18</f>
        <v>-85.7320174744758</v>
      </c>
      <c r="E84" s="5" t="n">
        <f aca="false">(C84-C$18)*100/C$18</f>
        <v>-56.5957446808511</v>
      </c>
    </row>
    <row r="85" customFormat="false" ht="15.75" hidden="false" customHeight="true" outlineLevel="0" collapsed="false">
      <c r="A85" s="9" t="s">
        <v>95</v>
      </c>
      <c r="B85" s="9" t="n">
        <v>466.32</v>
      </c>
      <c r="C85" s="8" t="n">
        <f aca="false">VLOOKUP(A85, Sheet1!A:B, 2, FALSE())</f>
        <v>21.3</v>
      </c>
      <c r="D85" s="5" t="n">
        <f aca="false">(B85-B$18)*100/B$18</f>
        <v>-85.8135488031931</v>
      </c>
      <c r="E85" s="5" t="n">
        <f aca="false">(C85-C$18)*100/C$18</f>
        <v>-54.6808510638298</v>
      </c>
    </row>
    <row r="86" customFormat="false" ht="15.75" hidden="false" customHeight="true" outlineLevel="0" collapsed="false">
      <c r="A86" s="9" t="s">
        <v>97</v>
      </c>
      <c r="B86" s="9" t="n">
        <v>463.44</v>
      </c>
      <c r="C86" s="8" t="n">
        <f aca="false">VLOOKUP(A86, Sheet1!A:B, 2, FALSE())</f>
        <v>19</v>
      </c>
      <c r="D86" s="5" t="n">
        <f aca="false">(B86-B$18)*100/B$18</f>
        <v>-85.9011645594266</v>
      </c>
      <c r="E86" s="5" t="n">
        <f aca="false">(C86-C$18)*100/C$18</f>
        <v>-59.5744680851064</v>
      </c>
    </row>
    <row r="87" customFormat="false" ht="15.75" hidden="false" customHeight="true" outlineLevel="0" collapsed="false">
      <c r="A87" s="9" t="s">
        <v>87</v>
      </c>
      <c r="B87" s="9" t="n">
        <v>462.55</v>
      </c>
      <c r="C87" s="8" t="n">
        <f aca="false">VLOOKUP(A87, Sheet1!A:B, 2, FALSE())</f>
        <v>27.5</v>
      </c>
      <c r="D87" s="5" t="n">
        <f aca="false">(B87-B$18)*100/B$18</f>
        <v>-85.9282402618738</v>
      </c>
      <c r="E87" s="5" t="n">
        <f aca="false">(C87-C$18)*100/C$18</f>
        <v>-41.4893617021277</v>
      </c>
    </row>
    <row r="88" customFormat="false" ht="15.75" hidden="false" customHeight="true" outlineLevel="0" collapsed="false">
      <c r="A88" s="9" t="s">
        <v>82</v>
      </c>
      <c r="B88" s="9" t="n">
        <v>427.57</v>
      </c>
      <c r="C88" s="8" t="n">
        <f aca="false">VLOOKUP(A88, Sheet1!A:B, 2, FALSE())</f>
        <v>24.6</v>
      </c>
      <c r="D88" s="5" t="n">
        <f aca="false">(B88-B$18)*100/B$18</f>
        <v>-86.9924066344598</v>
      </c>
      <c r="E88" s="5" t="n">
        <f aca="false">(C88-C$18)*100/C$18</f>
        <v>-47.6595744680851</v>
      </c>
    </row>
    <row r="89" customFormat="false" ht="15.75" hidden="false" customHeight="true" outlineLevel="0" collapsed="false">
      <c r="A89" s="9" t="s">
        <v>93</v>
      </c>
      <c r="B89" s="9" t="n">
        <v>381.98</v>
      </c>
      <c r="C89" s="8" t="n">
        <f aca="false">VLOOKUP(A89, Sheet1!A:B, 2, FALSE())</f>
        <v>20.5</v>
      </c>
      <c r="D89" s="5" t="n">
        <f aca="false">(B89-B$18)*100/B$18</f>
        <v>-88.379351886781</v>
      </c>
      <c r="E89" s="5" t="n">
        <f aca="false">(C89-C$18)*100/C$18</f>
        <v>-56.3829787234043</v>
      </c>
    </row>
    <row r="90" customFormat="false" ht="15.75" hidden="false" customHeight="true" outlineLevel="0" collapsed="false">
      <c r="A90" s="9" t="s">
        <v>154</v>
      </c>
      <c r="B90" s="9" t="n">
        <v>377.54</v>
      </c>
      <c r="C90" s="8" t="n">
        <f aca="false">VLOOKUP(A90, Sheet1!A:B, 2, FALSE())</f>
        <v>22.3</v>
      </c>
      <c r="D90" s="5" t="n">
        <f aca="false">(B90-B$18)*100/B$18</f>
        <v>-88.5144261776409</v>
      </c>
      <c r="E90" s="5" t="n">
        <f aca="false">(C90-C$18)*100/C$18</f>
        <v>-52.5531914893617</v>
      </c>
    </row>
    <row r="91" customFormat="false" ht="15.75" hidden="false" customHeight="true" outlineLevel="0" collapsed="false">
      <c r="A91" s="9" t="s">
        <v>102</v>
      </c>
      <c r="B91" s="9" t="n">
        <v>367.77</v>
      </c>
      <c r="C91" s="8" t="n">
        <f aca="false">VLOOKUP(A91, Sheet1!A:B, 2, FALSE())</f>
        <v>19.1</v>
      </c>
      <c r="D91" s="5" t="n">
        <f aca="false">(B91-B$18)*100/B$18</f>
        <v>-88.8116504618081</v>
      </c>
      <c r="E91" s="5" t="n">
        <f aca="false">(C91-C$18)*100/C$18</f>
        <v>-59.3617021276596</v>
      </c>
    </row>
    <row r="92" customFormat="false" ht="15.75" hidden="false" customHeight="true" outlineLevel="0" collapsed="false">
      <c r="A92" s="9" t="s">
        <v>99</v>
      </c>
      <c r="B92" s="9" t="n">
        <v>355.56</v>
      </c>
      <c r="C92" s="8" t="n">
        <f aca="false">VLOOKUP(A92, Sheet1!A:B, 2, FALSE())</f>
        <v>22.9</v>
      </c>
      <c r="D92" s="5" t="n">
        <f aca="false">(B92-B$18)*100/B$18</f>
        <v>-89.183104761673</v>
      </c>
      <c r="E92" s="5" t="n">
        <f aca="false">(C92-C$18)*100/C$18</f>
        <v>-51.2765957446809</v>
      </c>
    </row>
    <row r="93" customFormat="false" ht="15.75" hidden="false" customHeight="true" outlineLevel="0" collapsed="false">
      <c r="A93" s="9" t="s">
        <v>163</v>
      </c>
      <c r="B93" s="9" t="n">
        <v>347.57</v>
      </c>
      <c r="C93" s="8" t="n">
        <f aca="false">VLOOKUP(A93, Sheet1!A:B, 2, FALSE())</f>
        <v>12.7</v>
      </c>
      <c r="D93" s="5" t="n">
        <f aca="false">(B93-B$18)*100/B$18</f>
        <v>-89.4261776409458</v>
      </c>
      <c r="E93" s="5" t="n">
        <f aca="false">(C93-C$18)*100/C$18</f>
        <v>-72.9787234042553</v>
      </c>
    </row>
    <row r="94" customFormat="false" ht="15.75" hidden="false" customHeight="true" outlineLevel="0" collapsed="false">
      <c r="A94" s="9" t="s">
        <v>105</v>
      </c>
      <c r="B94" s="9" t="n">
        <v>325.8</v>
      </c>
      <c r="C94" s="8" t="n">
        <f aca="false">VLOOKUP(A94, Sheet1!A:B, 2, FALSE())</f>
        <v>17</v>
      </c>
      <c r="D94" s="5" t="n">
        <f aca="false">(B94-B$18)*100/B$18</f>
        <v>-90.0884675760858</v>
      </c>
      <c r="E94" s="5" t="n">
        <f aca="false">(C94-C$18)*100/C$18</f>
        <v>-63.8297872340426</v>
      </c>
    </row>
    <row r="95" customFormat="false" ht="15.75" hidden="false" customHeight="true" outlineLevel="0" collapsed="false">
      <c r="A95" s="9" t="s">
        <v>101</v>
      </c>
      <c r="B95" s="9" t="n">
        <v>324.92</v>
      </c>
      <c r="C95" s="8" t="n">
        <f aca="false">VLOOKUP(A95, Sheet1!A:B, 2, FALSE())</f>
        <v>18</v>
      </c>
      <c r="D95" s="5" t="n">
        <f aca="false">(B95-B$18)*100/B$18</f>
        <v>-90.1152390571571</v>
      </c>
      <c r="E95" s="5" t="n">
        <f aca="false">(C95-C$18)*100/C$18</f>
        <v>-61.7021276595745</v>
      </c>
    </row>
    <row r="96" customFormat="false" ht="15.75" hidden="false" customHeight="true" outlineLevel="0" collapsed="false">
      <c r="A96" s="9" t="s">
        <v>100</v>
      </c>
      <c r="B96" s="9" t="n">
        <v>318.86</v>
      </c>
      <c r="C96" s="8" t="n">
        <f aca="false">VLOOKUP(A96, Sheet1!A:B, 2, FALSE())</f>
        <v>19.1</v>
      </c>
      <c r="D96" s="5" t="n">
        <f aca="false">(B96-B$18)*100/B$18</f>
        <v>-90.2995972108984</v>
      </c>
      <c r="E96" s="5" t="n">
        <f aca="false">(C96-C$18)*100/C$18</f>
        <v>-59.3617021276596</v>
      </c>
    </row>
    <row r="97" customFormat="false" ht="15.75" hidden="false" customHeight="true" outlineLevel="0" collapsed="false">
      <c r="A97" s="9" t="s">
        <v>103</v>
      </c>
      <c r="B97" s="9" t="n">
        <v>311.09</v>
      </c>
      <c r="C97" s="8" t="n">
        <f aca="false">VLOOKUP(A97, Sheet1!A:B, 2, FALSE())</f>
        <v>16.1</v>
      </c>
      <c r="D97" s="5" t="n">
        <f aca="false">(B97-B$18)*100/B$18</f>
        <v>-90.5359772199034</v>
      </c>
      <c r="E97" s="5" t="n">
        <f aca="false">(C97-C$18)*100/C$18</f>
        <v>-65.7446808510638</v>
      </c>
    </row>
    <row r="98" customFormat="false" ht="15.75" hidden="false" customHeight="true" outlineLevel="0" collapsed="false">
      <c r="A98" s="9" t="s">
        <v>107</v>
      </c>
      <c r="B98" s="9" t="n">
        <v>271.78</v>
      </c>
      <c r="C98" s="8" t="n">
        <f aca="false">VLOOKUP(A98, Sheet1!A:B, 2, FALSE())</f>
        <v>13.4</v>
      </c>
      <c r="D98" s="5" t="n">
        <f aca="false">(B98-B$18)*100/B$18</f>
        <v>-91.7318714482154</v>
      </c>
      <c r="E98" s="5" t="n">
        <f aca="false">(C98-C$18)*100/C$18</f>
        <v>-71.4893617021277</v>
      </c>
    </row>
    <row r="99" customFormat="false" ht="15.75" hidden="false" customHeight="true" outlineLevel="0" collapsed="false">
      <c r="A99" s="9" t="s">
        <v>106</v>
      </c>
      <c r="B99" s="9" t="n">
        <v>253.36</v>
      </c>
      <c r="C99" s="8" t="n">
        <f aca="false">VLOOKUP(A99, Sheet1!A:B, 2, FALSE())</f>
        <v>15.1</v>
      </c>
      <c r="D99" s="5" t="n">
        <f aca="false">(B99-B$18)*100/B$18</f>
        <v>-92.2922472224588</v>
      </c>
      <c r="E99" s="5" t="n">
        <f aca="false">(C99-C$18)*100/C$18</f>
        <v>-67.8723404255319</v>
      </c>
    </row>
    <row r="100" customFormat="false" ht="15.75" hidden="false" customHeight="true" outlineLevel="0" collapsed="false">
      <c r="A100" s="9" t="s">
        <v>108</v>
      </c>
      <c r="B100" s="9" t="n">
        <v>243.75</v>
      </c>
      <c r="C100" s="8" t="n">
        <f aca="false">VLOOKUP(A100, Sheet1!A:B, 2, FALSE())</f>
        <v>24</v>
      </c>
      <c r="D100" s="5" t="n">
        <f aca="false">(B100-B$18)*100/B$18</f>
        <v>-92.584603964613</v>
      </c>
      <c r="E100" s="5" t="n">
        <f aca="false">(C100-C$18)*100/C$18</f>
        <v>-48.936170212766</v>
      </c>
    </row>
    <row r="101" customFormat="false" ht="15.75" hidden="false" customHeight="true" outlineLevel="0" collapsed="false">
      <c r="A101" s="9" t="s">
        <v>110</v>
      </c>
      <c r="B101" s="9" t="n">
        <v>228.51</v>
      </c>
      <c r="C101" s="8" t="n">
        <f aca="false">VLOOKUP(A101, Sheet1!A:B, 2, FALSE())</f>
        <v>13.2</v>
      </c>
      <c r="D101" s="5" t="n">
        <f aca="false">(B101-B$18)*100/B$18</f>
        <v>-93.0482373413486</v>
      </c>
      <c r="E101" s="5" t="n">
        <f aca="false">(C101-C$18)*100/C$18</f>
        <v>-71.9148936170213</v>
      </c>
    </row>
    <row r="102" customFormat="false" ht="15.75" hidden="false" customHeight="true" outlineLevel="0" collapsed="false">
      <c r="A102" s="9" t="s">
        <v>109</v>
      </c>
      <c r="B102" s="9" t="n">
        <v>197.61</v>
      </c>
      <c r="C102" s="8" t="n">
        <f aca="false">VLOOKUP(A102, Sheet1!A:B, 2, FALSE())</f>
        <v>20.2</v>
      </c>
      <c r="D102" s="5" t="n">
        <f aca="false">(B102-B$18)*100/B$18</f>
        <v>-93.9882813926038</v>
      </c>
      <c r="E102" s="5" t="n">
        <f aca="false">(C102-C$18)*100/C$18</f>
        <v>-57.0212765957447</v>
      </c>
    </row>
    <row r="103" customFormat="false" ht="15.75" hidden="false" customHeight="true" outlineLevel="0" collapsed="false">
      <c r="A103" s="9" t="s">
        <v>148</v>
      </c>
      <c r="B103" s="9" t="n">
        <v>189.88</v>
      </c>
      <c r="C103" s="8" t="n">
        <f aca="false">VLOOKUP(A103, Sheet1!A:B, 2, FALSE())</f>
        <v>26</v>
      </c>
      <c r="D103" s="5" t="n">
        <f aca="false">(B103-B$18)*100/B$18</f>
        <v>-94.2234445161055</v>
      </c>
      <c r="E103" s="5" t="n">
        <f aca="false">(C103-C$18)*100/C$18</f>
        <v>-44.6808510638298</v>
      </c>
    </row>
    <row r="104" customFormat="false" ht="15.75" hidden="false" customHeight="true" outlineLevel="0" collapsed="false">
      <c r="A104" s="9" t="s">
        <v>111</v>
      </c>
      <c r="B104" s="9" t="n">
        <v>181.6</v>
      </c>
      <c r="C104" s="8" t="n">
        <f aca="false">VLOOKUP(A104, Sheet1!A:B, 2, FALSE())</f>
        <v>12.4</v>
      </c>
      <c r="D104" s="5" t="n">
        <f aca="false">(B104-B$18)*100/B$18</f>
        <v>-94.4753398152768</v>
      </c>
      <c r="E104" s="5" t="n">
        <f aca="false">(C104-C$18)*100/C$18</f>
        <v>-73.6170212765958</v>
      </c>
    </row>
    <row r="105" customFormat="false" ht="15.75" hidden="false" customHeight="true" outlineLevel="0" collapsed="false">
      <c r="A105" s="9" t="s">
        <v>157</v>
      </c>
      <c r="B105" s="9" t="n">
        <v>177.32</v>
      </c>
      <c r="C105" s="8" t="n">
        <f aca="false">VLOOKUP(A105, Sheet1!A:B, 2, FALSE())</f>
        <v>19.2</v>
      </c>
      <c r="D105" s="5" t="n">
        <f aca="false">(B105-B$18)*100/B$18</f>
        <v>-94.6055465641238</v>
      </c>
      <c r="E105" s="5" t="n">
        <f aca="false">(C105-C$18)*100/C$18</f>
        <v>-59.1489361702128</v>
      </c>
    </row>
    <row r="106" customFormat="false" ht="15.75" hidden="false" customHeight="true" outlineLevel="0" collapsed="false">
      <c r="A106" s="9" t="s">
        <v>112</v>
      </c>
      <c r="B106" s="9" t="n">
        <v>147.61</v>
      </c>
      <c r="C106" s="8" t="n">
        <f aca="false">VLOOKUP(A106, Sheet1!A:B, 2, FALSE())</f>
        <v>13.4</v>
      </c>
      <c r="D106" s="5" t="n">
        <f aca="false">(B106-B$18)*100/B$18</f>
        <v>-95.5093882716575</v>
      </c>
      <c r="E106" s="5" t="n">
        <f aca="false">(C106-C$18)*100/C$18</f>
        <v>-71.4893617021277</v>
      </c>
    </row>
    <row r="107" customFormat="false" ht="15.75" hidden="false" customHeight="true" outlineLevel="0" collapsed="false">
      <c r="A107" s="9" t="s">
        <v>160</v>
      </c>
      <c r="B107" s="9" t="n">
        <v>122.75</v>
      </c>
      <c r="C107" s="8" t="n">
        <f aca="false">VLOOKUP(A107, Sheet1!A:B, 2, FALSE())</f>
        <v>16.6</v>
      </c>
      <c r="D107" s="5" t="n">
        <f aca="false">(B107-B$18)*100/B$18</f>
        <v>-96.265682611923</v>
      </c>
      <c r="E107" s="5" t="n">
        <f aca="false">(C107-C$18)*100/C$18</f>
        <v>-64.6808510638298</v>
      </c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84375" defaultRowHeight="15" zeroHeight="false" outlineLevelRow="0" outlineLevelCol="0"/>
  <sheetData>
    <row r="1" customFormat="false" ht="15" hidden="false" customHeight="true" outlineLevel="0" collapsed="false">
      <c r="A1" s="2" t="s">
        <v>0</v>
      </c>
      <c r="B1" s="2" t="s">
        <v>559</v>
      </c>
      <c r="D1" s="2" t="s">
        <v>0</v>
      </c>
      <c r="E1" s="2" t="s">
        <v>565</v>
      </c>
      <c r="F1" s="3" t="s">
        <v>566</v>
      </c>
    </row>
    <row r="2" customFormat="false" ht="15" hidden="false" customHeight="true" outlineLevel="0" collapsed="false">
      <c r="A2" s="1" t="s">
        <v>12</v>
      </c>
      <c r="B2" s="1" t="n">
        <v>7112.01</v>
      </c>
      <c r="D2" s="1" t="s">
        <v>12</v>
      </c>
      <c r="E2" s="1" t="n">
        <v>6862.91</v>
      </c>
    </row>
    <row r="3" customFormat="false" ht="15" hidden="false" customHeight="true" outlineLevel="0" collapsed="false">
      <c r="A3" s="1" t="s">
        <v>13</v>
      </c>
      <c r="B3" s="1" t="n">
        <v>5462.17</v>
      </c>
      <c r="D3" s="1" t="s">
        <v>13</v>
      </c>
      <c r="E3" s="1" t="n">
        <v>5379.43</v>
      </c>
    </row>
    <row r="4" customFormat="false" ht="15" hidden="false" customHeight="true" outlineLevel="0" collapsed="false">
      <c r="A4" s="1" t="s">
        <v>14</v>
      </c>
      <c r="B4" s="1" t="n">
        <v>4742.72</v>
      </c>
      <c r="D4" s="1" t="s">
        <v>17</v>
      </c>
      <c r="E4" s="1" t="n">
        <v>4269.48</v>
      </c>
    </row>
    <row r="5" customFormat="false" ht="15" hidden="false" customHeight="true" outlineLevel="0" collapsed="false">
      <c r="A5" s="1" t="s">
        <v>15</v>
      </c>
      <c r="B5" s="1" t="n">
        <v>4469.53</v>
      </c>
      <c r="D5" s="1" t="s">
        <v>15</v>
      </c>
      <c r="E5" s="1" t="n">
        <v>4106.34</v>
      </c>
    </row>
    <row r="6" customFormat="false" ht="15" hidden="false" customHeight="true" outlineLevel="0" collapsed="false">
      <c r="A6" s="1" t="s">
        <v>16</v>
      </c>
      <c r="B6" s="1" t="n">
        <v>4401.35</v>
      </c>
      <c r="D6" s="1" t="s">
        <v>14</v>
      </c>
      <c r="E6" s="1" t="n">
        <v>4076.16</v>
      </c>
    </row>
    <row r="7" customFormat="false" ht="15" hidden="false" customHeight="true" outlineLevel="0" collapsed="false">
      <c r="A7" s="1" t="s">
        <v>17</v>
      </c>
      <c r="B7" s="1" t="n">
        <v>4307.38</v>
      </c>
      <c r="D7" s="1" t="s">
        <v>18</v>
      </c>
      <c r="E7" s="1" t="n">
        <v>4005.27</v>
      </c>
    </row>
    <row r="8" customFormat="false" ht="15" hidden="false" customHeight="true" outlineLevel="0" collapsed="false">
      <c r="A8" s="1" t="s">
        <v>18</v>
      </c>
      <c r="B8" s="1" t="n">
        <v>4109.82</v>
      </c>
      <c r="D8" s="1" t="s">
        <v>20</v>
      </c>
      <c r="E8" s="1" t="n">
        <v>3945.23</v>
      </c>
    </row>
    <row r="9" customFormat="false" ht="15" hidden="false" customHeight="true" outlineLevel="0" collapsed="false">
      <c r="A9" s="1" t="s">
        <v>19</v>
      </c>
      <c r="B9" s="1" t="n">
        <v>4090.05</v>
      </c>
      <c r="D9" s="1" t="s">
        <v>26</v>
      </c>
      <c r="E9" s="1" t="n">
        <v>3852.5</v>
      </c>
    </row>
    <row r="10" customFormat="false" ht="15" hidden="false" customHeight="true" outlineLevel="0" collapsed="false">
      <c r="A10" s="1" t="s">
        <v>20</v>
      </c>
      <c r="B10" s="1" t="n">
        <v>3984.31</v>
      </c>
      <c r="D10" s="1" t="s">
        <v>21</v>
      </c>
      <c r="E10" s="1" t="n">
        <v>3829.17</v>
      </c>
    </row>
    <row r="11" customFormat="false" ht="15" hidden="false" customHeight="true" outlineLevel="0" collapsed="false">
      <c r="A11" s="1" t="s">
        <v>21</v>
      </c>
      <c r="B11" s="1" t="n">
        <v>3787.83</v>
      </c>
      <c r="D11" s="1" t="s">
        <v>16</v>
      </c>
      <c r="E11" s="1" t="n">
        <v>3645.41</v>
      </c>
    </row>
    <row r="12" customFormat="false" ht="15" hidden="false" customHeight="true" outlineLevel="0" collapsed="false">
      <c r="A12" s="1" t="s">
        <v>22</v>
      </c>
      <c r="B12" s="1" t="n">
        <v>3678.8</v>
      </c>
      <c r="D12" s="1" t="s">
        <v>23</v>
      </c>
      <c r="E12" s="1" t="n">
        <v>3572.87</v>
      </c>
    </row>
    <row r="13" customFormat="false" ht="15" hidden="false" customHeight="true" outlineLevel="0" collapsed="false">
      <c r="A13" s="1" t="s">
        <v>23</v>
      </c>
      <c r="B13" s="1" t="n">
        <v>3528.19</v>
      </c>
      <c r="D13" s="1" t="s">
        <v>33</v>
      </c>
      <c r="E13" s="1" t="n">
        <v>3520.47</v>
      </c>
    </row>
    <row r="14" customFormat="false" ht="15" hidden="false" customHeight="true" outlineLevel="0" collapsed="false">
      <c r="A14" s="1" t="s">
        <v>24</v>
      </c>
      <c r="B14" s="1" t="n">
        <v>3415.69</v>
      </c>
      <c r="D14" s="1" t="s">
        <v>35</v>
      </c>
      <c r="E14" s="1" t="n">
        <v>3447.98</v>
      </c>
    </row>
    <row r="15" customFormat="false" ht="15" hidden="false" customHeight="true" outlineLevel="0" collapsed="false">
      <c r="A15" s="1" t="s">
        <v>25</v>
      </c>
      <c r="B15" s="1" t="n">
        <v>3277.64</v>
      </c>
      <c r="D15" s="1" t="s">
        <v>24</v>
      </c>
      <c r="E15" s="1" t="n">
        <v>3441.52</v>
      </c>
    </row>
    <row r="16" customFormat="false" ht="15" hidden="false" customHeight="true" outlineLevel="0" collapsed="false">
      <c r="A16" s="1" t="s">
        <v>26</v>
      </c>
      <c r="B16" s="1" t="n">
        <v>3266.5</v>
      </c>
      <c r="D16" s="1" t="s">
        <v>19</v>
      </c>
      <c r="E16" s="1" t="n">
        <v>3372.51</v>
      </c>
    </row>
    <row r="17" customFormat="false" ht="15" hidden="false" customHeight="true" outlineLevel="0" collapsed="false">
      <c r="A17" s="1" t="s">
        <v>27</v>
      </c>
      <c r="B17" s="1" t="n">
        <v>3203.86</v>
      </c>
      <c r="D17" s="1" t="s">
        <v>22</v>
      </c>
      <c r="E17" s="1" t="n">
        <v>3301.93</v>
      </c>
    </row>
    <row r="18" customFormat="false" ht="15" hidden="false" customHeight="true" outlineLevel="0" collapsed="false">
      <c r="A18" s="1" t="s">
        <v>28</v>
      </c>
      <c r="B18" s="1" t="n">
        <v>3045.67</v>
      </c>
      <c r="D18" s="1" t="s">
        <v>25</v>
      </c>
      <c r="E18" s="1" t="n">
        <v>3287.08</v>
      </c>
    </row>
    <row r="19" customFormat="false" ht="15" hidden="false" customHeight="true" outlineLevel="0" collapsed="false">
      <c r="A19" s="1" t="s">
        <v>29</v>
      </c>
      <c r="B19" s="1" t="n">
        <v>3042.85</v>
      </c>
      <c r="D19" s="1" t="s">
        <v>29</v>
      </c>
      <c r="E19" s="1" t="n">
        <v>3072.84</v>
      </c>
    </row>
    <row r="20" customFormat="false" ht="15" hidden="false" customHeight="true" outlineLevel="0" collapsed="false">
      <c r="A20" s="1" t="s">
        <v>30</v>
      </c>
      <c r="B20" s="1" t="n">
        <v>3036.61</v>
      </c>
      <c r="D20" s="1" t="s">
        <v>31</v>
      </c>
      <c r="E20" s="1" t="n">
        <v>3038.11</v>
      </c>
    </row>
    <row r="21" customFormat="false" ht="15" hidden="false" customHeight="true" outlineLevel="0" collapsed="false">
      <c r="A21" s="1" t="s">
        <v>31</v>
      </c>
      <c r="B21" s="1" t="n">
        <v>3012.57</v>
      </c>
      <c r="D21" s="1" t="s">
        <v>32</v>
      </c>
      <c r="E21" s="1" t="n">
        <v>2987.09</v>
      </c>
    </row>
    <row r="22" customFormat="false" ht="15" hidden="false" customHeight="true" outlineLevel="0" collapsed="false">
      <c r="A22" s="1" t="s">
        <v>32</v>
      </c>
      <c r="B22" s="1" t="n">
        <v>2982.15</v>
      </c>
      <c r="D22" s="1" t="s">
        <v>39</v>
      </c>
      <c r="E22" s="1" t="n">
        <v>2818.77</v>
      </c>
    </row>
    <row r="23" customFormat="false" ht="15" hidden="false" customHeight="true" outlineLevel="0" collapsed="false">
      <c r="A23" s="1" t="s">
        <v>33</v>
      </c>
      <c r="B23" s="1" t="n">
        <v>2884.99</v>
      </c>
      <c r="D23" s="1" t="s">
        <v>30</v>
      </c>
      <c r="E23" s="1" t="n">
        <v>2798.06</v>
      </c>
    </row>
    <row r="24" customFormat="false" ht="15" hidden="false" customHeight="true" outlineLevel="0" collapsed="false">
      <c r="A24" s="1" t="s">
        <v>34</v>
      </c>
      <c r="B24" s="1" t="n">
        <v>2848.9</v>
      </c>
      <c r="D24" s="1" t="s">
        <v>28</v>
      </c>
      <c r="E24" s="1" t="n">
        <v>2786.82</v>
      </c>
    </row>
    <row r="25" customFormat="false" ht="15" hidden="false" customHeight="true" outlineLevel="0" collapsed="false">
      <c r="A25" s="1" t="s">
        <v>35</v>
      </c>
      <c r="B25" s="1" t="n">
        <v>2795.09</v>
      </c>
      <c r="D25" s="1" t="s">
        <v>34</v>
      </c>
      <c r="E25" s="1" t="n">
        <v>2785.28</v>
      </c>
    </row>
    <row r="26" customFormat="false" ht="15" hidden="false" customHeight="true" outlineLevel="0" collapsed="false">
      <c r="A26" s="1" t="s">
        <v>36</v>
      </c>
      <c r="B26" s="1" t="n">
        <v>2777.74</v>
      </c>
      <c r="D26" s="1" t="s">
        <v>27</v>
      </c>
      <c r="E26" s="1" t="n">
        <v>2734.78</v>
      </c>
    </row>
    <row r="27" customFormat="false" ht="15" hidden="false" customHeight="true" outlineLevel="0" collapsed="false">
      <c r="A27" s="1" t="s">
        <v>37</v>
      </c>
      <c r="B27" s="1" t="n">
        <v>2587.21</v>
      </c>
      <c r="D27" s="1" t="s">
        <v>38</v>
      </c>
      <c r="E27" s="1" t="n">
        <v>2495.16</v>
      </c>
    </row>
    <row r="28" customFormat="false" ht="15" hidden="false" customHeight="true" outlineLevel="0" collapsed="false">
      <c r="A28" s="1" t="s">
        <v>38</v>
      </c>
      <c r="B28" s="1" t="n">
        <v>2328.77</v>
      </c>
      <c r="D28" s="1" t="s">
        <v>36</v>
      </c>
      <c r="E28" s="1" t="n">
        <v>2410.53</v>
      </c>
    </row>
    <row r="29" customFormat="false" ht="15" hidden="false" customHeight="true" outlineLevel="0" collapsed="false">
      <c r="A29" s="1" t="s">
        <v>39</v>
      </c>
      <c r="B29" s="1" t="n">
        <v>2264.87</v>
      </c>
      <c r="D29" s="1" t="s">
        <v>44</v>
      </c>
      <c r="E29" s="1" t="n">
        <v>2386.32</v>
      </c>
    </row>
    <row r="30" customFormat="false" ht="15" hidden="false" customHeight="true" outlineLevel="0" collapsed="false">
      <c r="A30" s="1" t="s">
        <v>40</v>
      </c>
      <c r="B30" s="1" t="n">
        <v>2117.5</v>
      </c>
      <c r="D30" s="1" t="s">
        <v>40</v>
      </c>
      <c r="E30" s="1" t="n">
        <v>2092.09</v>
      </c>
    </row>
    <row r="31" customFormat="false" ht="15" hidden="false" customHeight="true" outlineLevel="0" collapsed="false">
      <c r="A31" s="1" t="s">
        <v>41</v>
      </c>
      <c r="B31" s="1" t="n">
        <v>1971.53</v>
      </c>
      <c r="D31" s="1" t="s">
        <v>37</v>
      </c>
      <c r="E31" s="1" t="n">
        <v>2068.7</v>
      </c>
    </row>
    <row r="32" customFormat="false" ht="15" hidden="false" customHeight="true" outlineLevel="0" collapsed="false">
      <c r="A32" s="1" t="s">
        <v>42</v>
      </c>
      <c r="B32" s="1" t="n">
        <v>1925.39</v>
      </c>
      <c r="D32" s="1" t="s">
        <v>41</v>
      </c>
      <c r="E32" s="1" t="n">
        <v>2042.2</v>
      </c>
    </row>
    <row r="33" customFormat="false" ht="15" hidden="false" customHeight="true" outlineLevel="0" collapsed="false">
      <c r="A33" s="1" t="s">
        <v>43</v>
      </c>
      <c r="B33" s="1" t="n">
        <v>1922.14</v>
      </c>
      <c r="D33" s="1" t="s">
        <v>45</v>
      </c>
      <c r="E33" s="1" t="n">
        <v>1886.76</v>
      </c>
    </row>
    <row r="34" customFormat="false" ht="15" hidden="false" customHeight="true" outlineLevel="0" collapsed="false">
      <c r="A34" s="1" t="s">
        <v>44</v>
      </c>
      <c r="B34" s="1" t="n">
        <v>1897.02</v>
      </c>
      <c r="D34" s="1" t="s">
        <v>43</v>
      </c>
      <c r="E34" s="1" t="n">
        <v>1838.18</v>
      </c>
    </row>
    <row r="35" customFormat="false" ht="15" hidden="false" customHeight="true" outlineLevel="0" collapsed="false">
      <c r="A35" s="1" t="s">
        <v>45</v>
      </c>
      <c r="B35" s="1" t="n">
        <v>1877.58</v>
      </c>
      <c r="D35" s="1" t="s">
        <v>47</v>
      </c>
      <c r="E35" s="1" t="n">
        <v>1701.33</v>
      </c>
    </row>
    <row r="36" customFormat="false" ht="15" hidden="false" customHeight="true" outlineLevel="0" collapsed="false">
      <c r="A36" s="1" t="s">
        <v>46</v>
      </c>
      <c r="B36" s="1" t="n">
        <v>1773.1</v>
      </c>
      <c r="D36" s="1" t="s">
        <v>49</v>
      </c>
      <c r="E36" s="1" t="n">
        <v>1701.32</v>
      </c>
    </row>
    <row r="37" customFormat="false" ht="15" hidden="false" customHeight="true" outlineLevel="0" collapsed="false">
      <c r="A37" s="1" t="s">
        <v>47</v>
      </c>
      <c r="B37" s="1" t="n">
        <v>1728.08</v>
      </c>
      <c r="D37" s="1" t="s">
        <v>42</v>
      </c>
      <c r="E37" s="1" t="n">
        <v>1688.65</v>
      </c>
    </row>
    <row r="38" customFormat="false" ht="15" hidden="false" customHeight="true" outlineLevel="0" collapsed="false">
      <c r="A38" s="1" t="s">
        <v>48</v>
      </c>
      <c r="B38" s="1" t="n">
        <v>1725.27</v>
      </c>
      <c r="D38" s="1" t="s">
        <v>48</v>
      </c>
      <c r="E38" s="1" t="n">
        <v>1644.77</v>
      </c>
    </row>
    <row r="39" customFormat="false" ht="15" hidden="false" customHeight="true" outlineLevel="0" collapsed="false">
      <c r="A39" s="1" t="s">
        <v>49</v>
      </c>
      <c r="B39" s="1" t="n">
        <v>1694.13</v>
      </c>
      <c r="D39" s="1" t="s">
        <v>51</v>
      </c>
      <c r="E39" s="1" t="n">
        <v>1632.99</v>
      </c>
    </row>
    <row r="40" customFormat="false" ht="15" hidden="false" customHeight="true" outlineLevel="0" collapsed="false">
      <c r="A40" s="1" t="s">
        <v>50</v>
      </c>
      <c r="B40" s="1" t="n">
        <v>1632.9</v>
      </c>
      <c r="D40" s="1" t="s">
        <v>46</v>
      </c>
      <c r="E40" s="1" t="n">
        <v>1537.8</v>
      </c>
    </row>
    <row r="41" customFormat="false" ht="15" hidden="false" customHeight="true" outlineLevel="0" collapsed="false">
      <c r="A41" s="1" t="s">
        <v>51</v>
      </c>
      <c r="B41" s="1" t="n">
        <v>1625.11</v>
      </c>
      <c r="D41" s="1" t="s">
        <v>52</v>
      </c>
      <c r="E41" s="1" t="n">
        <v>1516.63</v>
      </c>
    </row>
    <row r="42" customFormat="false" ht="15" hidden="false" customHeight="true" outlineLevel="0" collapsed="false">
      <c r="A42" s="1" t="s">
        <v>52</v>
      </c>
      <c r="B42" s="1" t="n">
        <v>1571.6</v>
      </c>
      <c r="D42" s="1" t="s">
        <v>50</v>
      </c>
      <c r="E42" s="1" t="n">
        <v>1458.62</v>
      </c>
    </row>
    <row r="43" customFormat="false" ht="15" hidden="false" customHeight="true" outlineLevel="0" collapsed="false">
      <c r="A43" s="1" t="s">
        <v>53</v>
      </c>
      <c r="B43" s="1" t="n">
        <v>1482.56</v>
      </c>
      <c r="D43" s="1" t="s">
        <v>53</v>
      </c>
      <c r="E43" s="1" t="n">
        <v>1414.5</v>
      </c>
    </row>
    <row r="44" customFormat="false" ht="15" hidden="false" customHeight="true" outlineLevel="0" collapsed="false">
      <c r="A44" s="1" t="s">
        <v>54</v>
      </c>
      <c r="B44" s="1" t="n">
        <v>1308.71</v>
      </c>
      <c r="D44" s="1" t="s">
        <v>56</v>
      </c>
      <c r="E44" s="1" t="n">
        <v>1388.08</v>
      </c>
    </row>
    <row r="45" customFormat="false" ht="15" hidden="false" customHeight="true" outlineLevel="0" collapsed="false">
      <c r="A45" s="1" t="s">
        <v>55</v>
      </c>
      <c r="B45" s="1" t="n">
        <v>1306.72</v>
      </c>
      <c r="D45" s="1" t="s">
        <v>57</v>
      </c>
      <c r="E45" s="1" t="n">
        <v>1298.51</v>
      </c>
    </row>
    <row r="46" customFormat="false" ht="15" hidden="false" customHeight="true" outlineLevel="0" collapsed="false">
      <c r="A46" s="1" t="s">
        <v>56</v>
      </c>
      <c r="B46" s="1" t="n">
        <v>1292.93</v>
      </c>
      <c r="D46" s="1" t="s">
        <v>54</v>
      </c>
      <c r="E46" s="1" t="n">
        <v>1225.66</v>
      </c>
    </row>
    <row r="47" customFormat="false" ht="15" hidden="false" customHeight="true" outlineLevel="0" collapsed="false">
      <c r="A47" s="1" t="s">
        <v>57</v>
      </c>
      <c r="B47" s="1" t="n">
        <v>1256.24</v>
      </c>
      <c r="D47" s="1" t="s">
        <v>58</v>
      </c>
      <c r="E47" s="1" t="n">
        <v>1187.71</v>
      </c>
    </row>
    <row r="48" customFormat="false" ht="15" hidden="false" customHeight="true" outlineLevel="0" collapsed="false">
      <c r="A48" s="1" t="s">
        <v>58</v>
      </c>
      <c r="B48" s="1" t="n">
        <v>1146.57</v>
      </c>
      <c r="D48" s="1" t="s">
        <v>55</v>
      </c>
      <c r="E48" s="1" t="n">
        <v>1180.91</v>
      </c>
    </row>
    <row r="49" customFormat="false" ht="15" hidden="false" customHeight="true" outlineLevel="0" collapsed="false">
      <c r="A49" s="1" t="s">
        <v>59</v>
      </c>
      <c r="B49" s="1" t="n">
        <v>1126.87</v>
      </c>
      <c r="D49" s="1" t="s">
        <v>61</v>
      </c>
      <c r="E49" s="1" t="n">
        <v>1137.2</v>
      </c>
    </row>
    <row r="50" customFormat="false" ht="15" hidden="false" customHeight="true" outlineLevel="0" collapsed="false">
      <c r="A50" s="1" t="s">
        <v>60</v>
      </c>
      <c r="B50" s="1" t="n">
        <v>1098.04</v>
      </c>
      <c r="D50" s="1" t="s">
        <v>65</v>
      </c>
      <c r="E50" s="1" t="n">
        <v>1129.59</v>
      </c>
    </row>
    <row r="51" customFormat="false" ht="15" hidden="false" customHeight="true" outlineLevel="0" collapsed="false">
      <c r="A51" s="1" t="s">
        <v>61</v>
      </c>
      <c r="B51" s="1" t="n">
        <v>1081.62</v>
      </c>
      <c r="D51" s="1" t="s">
        <v>68</v>
      </c>
      <c r="E51" s="1" t="n">
        <v>1098.28</v>
      </c>
    </row>
    <row r="52" customFormat="false" ht="15" hidden="false" customHeight="true" outlineLevel="0" collapsed="false">
      <c r="A52" s="1" t="s">
        <v>62</v>
      </c>
      <c r="B52" s="1" t="n">
        <v>1071.38</v>
      </c>
      <c r="D52" s="1" t="s">
        <v>59</v>
      </c>
      <c r="E52" s="1" t="n">
        <v>1064.97</v>
      </c>
    </row>
    <row r="53" customFormat="false" ht="15" hidden="false" customHeight="true" outlineLevel="0" collapsed="false">
      <c r="A53" s="1" t="s">
        <v>63</v>
      </c>
      <c r="B53" s="1" t="n">
        <v>1056.76</v>
      </c>
      <c r="D53" s="1" t="s">
        <v>60</v>
      </c>
      <c r="E53" s="1" t="n">
        <v>1029.74</v>
      </c>
    </row>
    <row r="54" customFormat="false" ht="15" hidden="false" customHeight="true" outlineLevel="0" collapsed="false">
      <c r="A54" s="1" t="s">
        <v>64</v>
      </c>
      <c r="B54" s="1" t="n">
        <v>1021.21</v>
      </c>
      <c r="D54" s="1" t="s">
        <v>63</v>
      </c>
      <c r="E54" s="1" t="n">
        <v>996.61</v>
      </c>
    </row>
    <row r="55" customFormat="false" ht="15" hidden="false" customHeight="true" outlineLevel="0" collapsed="false">
      <c r="A55" s="1" t="s">
        <v>65</v>
      </c>
      <c r="B55" s="1" t="n">
        <v>1007.32</v>
      </c>
      <c r="D55" s="1" t="s">
        <v>81</v>
      </c>
      <c r="E55" s="1" t="n">
        <v>930.84</v>
      </c>
    </row>
    <row r="56" customFormat="false" ht="15" hidden="false" customHeight="true" outlineLevel="0" collapsed="false">
      <c r="A56" s="1" t="s">
        <v>66</v>
      </c>
      <c r="B56" s="1" t="n">
        <v>972.64</v>
      </c>
      <c r="D56" s="1" t="s">
        <v>70</v>
      </c>
      <c r="E56" s="1" t="n">
        <v>927.5</v>
      </c>
    </row>
    <row r="57" customFormat="false" ht="15" hidden="false" customHeight="true" outlineLevel="0" collapsed="false">
      <c r="A57" s="1" t="s">
        <v>67</v>
      </c>
      <c r="B57" s="1" t="n">
        <v>944.56</v>
      </c>
      <c r="D57" s="1" t="s">
        <v>64</v>
      </c>
      <c r="E57" s="1" t="n">
        <v>920.03</v>
      </c>
    </row>
    <row r="58" customFormat="false" ht="15" hidden="false" customHeight="true" outlineLevel="0" collapsed="false">
      <c r="A58" s="1" t="s">
        <v>68</v>
      </c>
      <c r="B58" s="1" t="n">
        <v>908.68</v>
      </c>
      <c r="D58" s="1" t="s">
        <v>130</v>
      </c>
      <c r="E58" s="1" t="n">
        <v>897.13</v>
      </c>
    </row>
    <row r="59" customFormat="false" ht="15" hidden="false" customHeight="true" outlineLevel="0" collapsed="false">
      <c r="A59" s="1" t="s">
        <v>69</v>
      </c>
      <c r="B59" s="1" t="n">
        <v>831.92</v>
      </c>
      <c r="D59" s="1" t="s">
        <v>67</v>
      </c>
      <c r="E59" s="1" t="n">
        <v>888.27</v>
      </c>
    </row>
    <row r="60" customFormat="false" ht="15" hidden="false" customHeight="true" outlineLevel="0" collapsed="false">
      <c r="A60" s="1" t="s">
        <v>70</v>
      </c>
      <c r="B60" s="1" t="n">
        <v>824.51</v>
      </c>
      <c r="D60" s="1" t="s">
        <v>73</v>
      </c>
      <c r="E60" s="1" t="n">
        <v>826.22</v>
      </c>
    </row>
    <row r="61" customFormat="false" ht="15" hidden="false" customHeight="true" outlineLevel="0" collapsed="false">
      <c r="A61" s="1" t="s">
        <v>71</v>
      </c>
      <c r="B61" s="1" t="n">
        <v>784.25</v>
      </c>
      <c r="D61" s="1" t="s">
        <v>96</v>
      </c>
      <c r="E61" s="1" t="n">
        <v>823.76</v>
      </c>
    </row>
    <row r="62" customFormat="false" ht="15" hidden="false" customHeight="true" outlineLevel="0" collapsed="false">
      <c r="A62" s="1" t="s">
        <v>72</v>
      </c>
      <c r="B62" s="1" t="n">
        <v>782.84</v>
      </c>
      <c r="D62" s="1" t="s">
        <v>66</v>
      </c>
      <c r="E62" s="1" t="n">
        <v>792.5</v>
      </c>
    </row>
    <row r="63" customFormat="false" ht="15" hidden="false" customHeight="true" outlineLevel="0" collapsed="false">
      <c r="A63" s="1" t="s">
        <v>73</v>
      </c>
      <c r="B63" s="1" t="n">
        <v>768.08</v>
      </c>
      <c r="D63" s="1" t="s">
        <v>62</v>
      </c>
      <c r="E63" s="1" t="n">
        <v>791.88</v>
      </c>
    </row>
    <row r="64" customFormat="false" ht="15" hidden="false" customHeight="true" outlineLevel="0" collapsed="false">
      <c r="A64" s="1" t="s">
        <v>74</v>
      </c>
      <c r="B64" s="1" t="n">
        <v>765</v>
      </c>
      <c r="D64" s="1" t="s">
        <v>69</v>
      </c>
      <c r="E64" s="1" t="n">
        <v>774.99</v>
      </c>
    </row>
    <row r="65" customFormat="false" ht="15" hidden="false" customHeight="true" outlineLevel="0" collapsed="false">
      <c r="A65" s="1" t="s">
        <v>75</v>
      </c>
      <c r="B65" s="1" t="n">
        <v>764.51</v>
      </c>
      <c r="D65" s="1" t="s">
        <v>72</v>
      </c>
      <c r="E65" s="1" t="n">
        <v>741.51</v>
      </c>
    </row>
    <row r="66" customFormat="false" ht="15" hidden="false" customHeight="true" outlineLevel="0" collapsed="false">
      <c r="A66" s="1" t="s">
        <v>76</v>
      </c>
      <c r="B66" s="1" t="n">
        <v>755.7</v>
      </c>
      <c r="D66" s="1" t="s">
        <v>75</v>
      </c>
      <c r="E66" s="1" t="n">
        <v>716.25</v>
      </c>
    </row>
    <row r="67" customFormat="false" ht="15" hidden="false" customHeight="true" outlineLevel="0" collapsed="false">
      <c r="A67" s="1" t="s">
        <v>77</v>
      </c>
      <c r="B67" s="1" t="n">
        <v>753.93</v>
      </c>
      <c r="D67" s="1" t="s">
        <v>79</v>
      </c>
      <c r="E67" s="1" t="n">
        <v>703</v>
      </c>
    </row>
    <row r="68" customFormat="false" ht="15" hidden="false" customHeight="true" outlineLevel="0" collapsed="false">
      <c r="A68" s="1" t="s">
        <v>78</v>
      </c>
      <c r="B68" s="1" t="n">
        <v>740.73</v>
      </c>
      <c r="D68" s="1" t="s">
        <v>76</v>
      </c>
      <c r="E68" s="1" t="n">
        <v>691.2</v>
      </c>
    </row>
    <row r="69" customFormat="false" ht="15" hidden="false" customHeight="true" outlineLevel="0" collapsed="false">
      <c r="A69" s="1" t="s">
        <v>79</v>
      </c>
      <c r="B69" s="1" t="n">
        <v>732.96</v>
      </c>
      <c r="D69" s="1" t="s">
        <v>74</v>
      </c>
      <c r="E69" s="1" t="n">
        <v>644.82</v>
      </c>
    </row>
    <row r="70" customFormat="false" ht="15" hidden="false" customHeight="true" outlineLevel="0" collapsed="false">
      <c r="A70" s="1" t="s">
        <v>80</v>
      </c>
      <c r="B70" s="1" t="n">
        <v>714.12</v>
      </c>
      <c r="D70" s="1" t="s">
        <v>80</v>
      </c>
      <c r="E70" s="1" t="n">
        <v>644.53</v>
      </c>
    </row>
    <row r="71" customFormat="false" ht="15" hidden="false" customHeight="true" outlineLevel="0" collapsed="false">
      <c r="A71" s="1" t="s">
        <v>81</v>
      </c>
      <c r="B71" s="1" t="n">
        <v>651.55</v>
      </c>
      <c r="D71" s="1" t="s">
        <v>86</v>
      </c>
      <c r="E71" s="1" t="n">
        <v>632.23</v>
      </c>
    </row>
    <row r="72" customFormat="false" ht="15" hidden="false" customHeight="true" outlineLevel="0" collapsed="false">
      <c r="A72" s="1" t="s">
        <v>82</v>
      </c>
      <c r="B72" s="1" t="n">
        <v>619.01</v>
      </c>
      <c r="D72" s="1" t="s">
        <v>78</v>
      </c>
      <c r="E72" s="1" t="n">
        <v>626.51</v>
      </c>
    </row>
    <row r="73" customFormat="false" ht="15" hidden="false" customHeight="true" outlineLevel="0" collapsed="false">
      <c r="A73" s="1" t="s">
        <v>83</v>
      </c>
      <c r="B73" s="1" t="n">
        <v>600.12</v>
      </c>
      <c r="D73" s="1" t="s">
        <v>132</v>
      </c>
      <c r="E73" s="1" t="n">
        <v>562.5</v>
      </c>
    </row>
    <row r="74" customFormat="false" ht="15" hidden="false" customHeight="true" outlineLevel="0" collapsed="false">
      <c r="A74" s="1" t="s">
        <v>84</v>
      </c>
      <c r="B74" s="1" t="n">
        <v>582.03</v>
      </c>
      <c r="D74" s="1" t="s">
        <v>77</v>
      </c>
      <c r="E74" s="1" t="n">
        <v>557.97</v>
      </c>
    </row>
    <row r="75" customFormat="false" ht="15" hidden="false" customHeight="true" outlineLevel="0" collapsed="false">
      <c r="A75" s="1" t="s">
        <v>85</v>
      </c>
      <c r="B75" s="1" t="n">
        <v>564.79</v>
      </c>
      <c r="D75" s="1" t="s">
        <v>71</v>
      </c>
      <c r="E75" s="1" t="n">
        <v>557.94</v>
      </c>
    </row>
    <row r="76" customFormat="false" ht="15" hidden="false" customHeight="true" outlineLevel="0" collapsed="false">
      <c r="A76" s="1" t="s">
        <v>86</v>
      </c>
      <c r="B76" s="1" t="n">
        <v>562.93</v>
      </c>
      <c r="D76" s="1" t="s">
        <v>84</v>
      </c>
      <c r="E76" s="1" t="n">
        <v>539.49</v>
      </c>
    </row>
    <row r="77" customFormat="false" ht="15" hidden="false" customHeight="true" outlineLevel="0" collapsed="false">
      <c r="A77" s="1" t="s">
        <v>87</v>
      </c>
      <c r="B77" s="1" t="n">
        <v>543.4</v>
      </c>
      <c r="D77" s="1" t="s">
        <v>85</v>
      </c>
      <c r="E77" s="1" t="n">
        <v>530.59</v>
      </c>
    </row>
    <row r="78" customFormat="false" ht="15" hidden="false" customHeight="true" outlineLevel="0" collapsed="false">
      <c r="A78" s="1" t="s">
        <v>88</v>
      </c>
      <c r="B78" s="1" t="n">
        <v>537.2</v>
      </c>
      <c r="D78" s="1" t="s">
        <v>83</v>
      </c>
      <c r="E78" s="1" t="n">
        <v>527.49</v>
      </c>
    </row>
    <row r="79" customFormat="false" ht="15" hidden="false" customHeight="true" outlineLevel="0" collapsed="false">
      <c r="A79" s="1" t="s">
        <v>89</v>
      </c>
      <c r="B79" s="1" t="n">
        <v>535.1</v>
      </c>
      <c r="D79" s="1" t="s">
        <v>91</v>
      </c>
      <c r="E79" s="1" t="n">
        <v>512.56</v>
      </c>
    </row>
    <row r="80" customFormat="false" ht="15" hidden="false" customHeight="true" outlineLevel="0" collapsed="false">
      <c r="A80" s="1" t="s">
        <v>90</v>
      </c>
      <c r="B80" s="1" t="n">
        <v>507.15</v>
      </c>
      <c r="D80" s="1" t="s">
        <v>88</v>
      </c>
      <c r="E80" s="1" t="n">
        <v>509.62</v>
      </c>
    </row>
    <row r="81" customFormat="false" ht="15" hidden="false" customHeight="true" outlineLevel="0" collapsed="false">
      <c r="A81" s="1" t="s">
        <v>91</v>
      </c>
      <c r="B81" s="1" t="n">
        <v>503.32</v>
      </c>
      <c r="D81" s="1" t="s">
        <v>92</v>
      </c>
      <c r="E81" s="1" t="n">
        <v>497.47</v>
      </c>
    </row>
    <row r="82" customFormat="false" ht="15" hidden="false" customHeight="true" outlineLevel="0" collapsed="false">
      <c r="A82" s="1" t="s">
        <v>92</v>
      </c>
      <c r="B82" s="1" t="n">
        <v>499.68</v>
      </c>
      <c r="D82" s="1" t="s">
        <v>90</v>
      </c>
      <c r="E82" s="1" t="n">
        <v>485.26</v>
      </c>
    </row>
    <row r="83" customFormat="false" ht="15" hidden="false" customHeight="true" outlineLevel="0" collapsed="false">
      <c r="A83" s="1" t="s">
        <v>93</v>
      </c>
      <c r="B83" s="1" t="n">
        <v>488.02</v>
      </c>
      <c r="D83" s="1" t="s">
        <v>94</v>
      </c>
      <c r="E83" s="1" t="n">
        <v>478.72</v>
      </c>
    </row>
    <row r="84" customFormat="false" ht="15" hidden="false" customHeight="true" outlineLevel="0" collapsed="false">
      <c r="A84" s="1" t="s">
        <v>94</v>
      </c>
      <c r="B84" s="1" t="n">
        <v>460.07</v>
      </c>
      <c r="D84" s="1" t="s">
        <v>89</v>
      </c>
      <c r="E84" s="1" t="n">
        <v>469</v>
      </c>
    </row>
    <row r="85" customFormat="false" ht="15" hidden="false" customHeight="true" outlineLevel="0" collapsed="false">
      <c r="A85" s="1" t="s">
        <v>95</v>
      </c>
      <c r="B85" s="1" t="n">
        <v>428.9</v>
      </c>
      <c r="D85" s="1" t="s">
        <v>95</v>
      </c>
      <c r="E85" s="1" t="n">
        <v>466.32</v>
      </c>
    </row>
    <row r="86" customFormat="false" ht="15" hidden="false" customHeight="true" outlineLevel="0" collapsed="false">
      <c r="A86" s="1" t="s">
        <v>96</v>
      </c>
      <c r="B86" s="1" t="n">
        <v>416.21</v>
      </c>
      <c r="D86" s="1" t="s">
        <v>97</v>
      </c>
      <c r="E86" s="1" t="n">
        <v>463.44</v>
      </c>
    </row>
    <row r="87" customFormat="false" ht="15" hidden="false" customHeight="true" outlineLevel="0" collapsed="false">
      <c r="A87" s="1" t="s">
        <v>97</v>
      </c>
      <c r="B87" s="1" t="n">
        <v>412.87</v>
      </c>
      <c r="D87" s="1" t="s">
        <v>87</v>
      </c>
      <c r="E87" s="1" t="n">
        <v>462.55</v>
      </c>
    </row>
    <row r="88" customFormat="false" ht="15" hidden="false" customHeight="true" outlineLevel="0" collapsed="false">
      <c r="A88" s="1" t="s">
        <v>98</v>
      </c>
      <c r="B88" s="1" t="n">
        <v>409.3</v>
      </c>
      <c r="D88" s="1" t="s">
        <v>82</v>
      </c>
      <c r="E88" s="1" t="n">
        <v>427.57</v>
      </c>
    </row>
    <row r="89" customFormat="false" ht="15" hidden="false" customHeight="true" outlineLevel="0" collapsed="false">
      <c r="A89" s="1" t="s">
        <v>99</v>
      </c>
      <c r="B89" s="1" t="n">
        <v>361.94</v>
      </c>
      <c r="D89" s="1" t="s">
        <v>93</v>
      </c>
      <c r="E89" s="1" t="n">
        <v>381.98</v>
      </c>
    </row>
    <row r="90" customFormat="false" ht="15" hidden="false" customHeight="true" outlineLevel="0" collapsed="false">
      <c r="A90" s="1" t="s">
        <v>100</v>
      </c>
      <c r="B90" s="1" t="n">
        <v>350.94</v>
      </c>
      <c r="D90" s="1" t="s">
        <v>154</v>
      </c>
      <c r="E90" s="1" t="n">
        <v>377.54</v>
      </c>
    </row>
    <row r="91" customFormat="false" ht="15" hidden="false" customHeight="true" outlineLevel="0" collapsed="false">
      <c r="A91" s="1" t="s">
        <v>101</v>
      </c>
      <c r="B91" s="1" t="n">
        <v>318.97</v>
      </c>
      <c r="D91" s="1" t="s">
        <v>102</v>
      </c>
      <c r="E91" s="1" t="n">
        <v>367.77</v>
      </c>
    </row>
    <row r="92" customFormat="false" ht="15" hidden="false" customHeight="true" outlineLevel="0" collapsed="false">
      <c r="A92" s="1" t="s">
        <v>102</v>
      </c>
      <c r="B92" s="1" t="n">
        <v>312.77</v>
      </c>
      <c r="D92" s="1" t="s">
        <v>99</v>
      </c>
      <c r="E92" s="1" t="n">
        <v>355.56</v>
      </c>
    </row>
    <row r="93" customFormat="false" ht="15" hidden="false" customHeight="true" outlineLevel="0" collapsed="false">
      <c r="A93" s="1" t="s">
        <v>103</v>
      </c>
      <c r="B93" s="1" t="n">
        <v>295.6</v>
      </c>
      <c r="D93" s="1" t="s">
        <v>163</v>
      </c>
      <c r="E93" s="1" t="n">
        <v>347.57</v>
      </c>
    </row>
    <row r="94" customFormat="false" ht="15" hidden="false" customHeight="true" outlineLevel="0" collapsed="false">
      <c r="A94" s="1" t="s">
        <v>104</v>
      </c>
      <c r="B94" s="1" t="n">
        <v>277.62</v>
      </c>
      <c r="D94" s="1" t="s">
        <v>105</v>
      </c>
      <c r="E94" s="1" t="n">
        <v>325.8</v>
      </c>
    </row>
    <row r="95" customFormat="false" ht="15" hidden="false" customHeight="true" outlineLevel="0" collapsed="false">
      <c r="A95" s="1" t="s">
        <v>105</v>
      </c>
      <c r="B95" s="1" t="n">
        <v>260.19</v>
      </c>
      <c r="D95" s="1" t="s">
        <v>101</v>
      </c>
      <c r="E95" s="1" t="n">
        <v>324.92</v>
      </c>
    </row>
    <row r="96" customFormat="false" ht="15" hidden="false" customHeight="true" outlineLevel="0" collapsed="false">
      <c r="A96" s="1" t="s">
        <v>106</v>
      </c>
      <c r="B96" s="1" t="n">
        <v>246.03</v>
      </c>
      <c r="D96" s="1" t="s">
        <v>100</v>
      </c>
      <c r="E96" s="1" t="n">
        <v>318.86</v>
      </c>
    </row>
    <row r="97" customFormat="false" ht="15" hidden="false" customHeight="true" outlineLevel="0" collapsed="false">
      <c r="A97" s="1" t="s">
        <v>107</v>
      </c>
      <c r="B97" s="1" t="n">
        <v>224.13</v>
      </c>
      <c r="D97" s="1" t="s">
        <v>103</v>
      </c>
      <c r="E97" s="1" t="n">
        <v>311.09</v>
      </c>
    </row>
    <row r="98" customFormat="false" ht="15" hidden="false" customHeight="true" outlineLevel="0" collapsed="false">
      <c r="A98" s="1" t="s">
        <v>108</v>
      </c>
      <c r="B98" s="1" t="n">
        <v>217.48</v>
      </c>
      <c r="D98" s="1" t="s">
        <v>107</v>
      </c>
      <c r="E98" s="1" t="n">
        <v>271.78</v>
      </c>
    </row>
    <row r="99" customFormat="false" ht="15" hidden="false" customHeight="true" outlineLevel="0" collapsed="false">
      <c r="A99" s="1" t="s">
        <v>109</v>
      </c>
      <c r="B99" s="1" t="n">
        <v>215.36</v>
      </c>
      <c r="D99" s="1" t="s">
        <v>106</v>
      </c>
      <c r="E99" s="1" t="n">
        <v>253.36</v>
      </c>
    </row>
    <row r="100" customFormat="false" ht="15" hidden="false" customHeight="true" outlineLevel="0" collapsed="false">
      <c r="A100" s="1" t="s">
        <v>110</v>
      </c>
      <c r="B100" s="1" t="n">
        <v>211.67</v>
      </c>
      <c r="D100" s="1" t="s">
        <v>108</v>
      </c>
      <c r="E100" s="1" t="n">
        <v>243.75</v>
      </c>
    </row>
    <row r="101" customFormat="false" ht="15" hidden="false" customHeight="true" outlineLevel="0" collapsed="false">
      <c r="A101" s="1" t="s">
        <v>111</v>
      </c>
      <c r="B101" s="1" t="n">
        <v>191.7</v>
      </c>
      <c r="D101" s="1" t="s">
        <v>110</v>
      </c>
      <c r="E101" s="1" t="n">
        <v>228.51</v>
      </c>
    </row>
    <row r="102" customFormat="false" ht="15" hidden="false" customHeight="true" outlineLevel="0" collapsed="false">
      <c r="A102" s="1" t="s">
        <v>112</v>
      </c>
      <c r="B102" s="1" t="n">
        <v>138.65</v>
      </c>
      <c r="D102" s="1" t="s">
        <v>109</v>
      </c>
      <c r="E102" s="1" t="n">
        <v>197.61</v>
      </c>
    </row>
    <row r="103" customFormat="false" ht="15" hidden="false" customHeight="true" outlineLevel="0" collapsed="false">
      <c r="A103" s="1" t="s">
        <v>113</v>
      </c>
      <c r="B103" s="1" t="n">
        <v>35.51</v>
      </c>
      <c r="D103" s="1" t="s">
        <v>148</v>
      </c>
      <c r="E103" s="1" t="n">
        <v>189.88</v>
      </c>
    </row>
    <row r="104" customFormat="false" ht="15" hidden="false" customHeight="true" outlineLevel="0" collapsed="false">
      <c r="D104" s="1" t="s">
        <v>111</v>
      </c>
      <c r="E104" s="1" t="n">
        <v>181.6</v>
      </c>
    </row>
    <row r="105" customFormat="false" ht="15" hidden="false" customHeight="true" outlineLevel="0" collapsed="false">
      <c r="D105" s="1" t="s">
        <v>157</v>
      </c>
      <c r="E105" s="1" t="n">
        <v>177.32</v>
      </c>
    </row>
    <row r="106" customFormat="false" ht="15" hidden="false" customHeight="true" outlineLevel="0" collapsed="false">
      <c r="D106" s="1" t="s">
        <v>112</v>
      </c>
      <c r="E106" s="1" t="n">
        <v>147.61</v>
      </c>
    </row>
    <row r="107" customFormat="false" ht="15" hidden="false" customHeight="true" outlineLevel="0" collapsed="false">
      <c r="D107" s="1" t="s">
        <v>160</v>
      </c>
      <c r="E107" s="1" t="n">
        <v>122.75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2" t="s">
        <v>567</v>
      </c>
      <c r="B1" s="2" t="s">
        <v>568</v>
      </c>
      <c r="C1" s="2" t="s">
        <v>569</v>
      </c>
      <c r="D1" s="2" t="s">
        <v>570</v>
      </c>
    </row>
    <row r="2" customFormat="false" ht="15" hidden="false" customHeight="true" outlineLevel="0" collapsed="false">
      <c r="A2" s="1" t="s">
        <v>1</v>
      </c>
      <c r="B2" s="1" t="s">
        <v>571</v>
      </c>
      <c r="C2" s="1" t="s">
        <v>572</v>
      </c>
      <c r="D2" s="1" t="s">
        <v>573</v>
      </c>
    </row>
    <row r="3" customFormat="false" ht="15" hidden="false" customHeight="true" outlineLevel="0" collapsed="false">
      <c r="A3" s="1" t="s">
        <v>2</v>
      </c>
      <c r="B3" s="1" t="s">
        <v>574</v>
      </c>
      <c r="C3" s="1" t="s">
        <v>575</v>
      </c>
      <c r="D3" s="1" t="s">
        <v>576</v>
      </c>
    </row>
    <row r="4" customFormat="false" ht="15" hidden="false" customHeight="true" outlineLevel="0" collapsed="false">
      <c r="A4" s="1" t="s">
        <v>3</v>
      </c>
      <c r="B4" s="1" t="s">
        <v>577</v>
      </c>
      <c r="C4" s="1" t="s">
        <v>572</v>
      </c>
    </row>
    <row r="5" customFormat="false" ht="15" hidden="false" customHeight="true" outlineLevel="0" collapsed="false">
      <c r="A5" s="1" t="s">
        <v>4</v>
      </c>
      <c r="B5" s="1" t="s">
        <v>578</v>
      </c>
      <c r="C5" s="1" t="s">
        <v>579</v>
      </c>
      <c r="D5" s="1" t="s">
        <v>580</v>
      </c>
    </row>
    <row r="6" customFormat="false" ht="15" hidden="false" customHeight="true" outlineLevel="0" collapsed="false">
      <c r="A6" s="1" t="s">
        <v>5</v>
      </c>
      <c r="B6" s="1" t="s">
        <v>581</v>
      </c>
      <c r="C6" s="1" t="s">
        <v>582</v>
      </c>
      <c r="D6" s="1" t="s">
        <v>583</v>
      </c>
    </row>
    <row r="7" customFormat="false" ht="15" hidden="false" customHeight="true" outlineLevel="0" collapsed="false">
      <c r="A7" s="1" t="s">
        <v>6</v>
      </c>
      <c r="B7" s="1" t="s">
        <v>584</v>
      </c>
      <c r="C7" s="1" t="s">
        <v>585</v>
      </c>
      <c r="D7" s="1" t="s">
        <v>586</v>
      </c>
    </row>
    <row r="8" customFormat="false" ht="15" hidden="false" customHeight="true" outlineLevel="0" collapsed="false">
      <c r="A8" s="1" t="s">
        <v>7</v>
      </c>
      <c r="B8" s="1" t="s">
        <v>587</v>
      </c>
      <c r="C8" s="1" t="s">
        <v>588</v>
      </c>
      <c r="D8" s="1" t="s">
        <v>589</v>
      </c>
    </row>
    <row r="9" customFormat="false" ht="15" hidden="false" customHeight="true" outlineLevel="0" collapsed="false">
      <c r="A9" s="1" t="s">
        <v>8</v>
      </c>
      <c r="B9" s="1" t="s">
        <v>590</v>
      </c>
      <c r="C9" s="1" t="s">
        <v>591</v>
      </c>
      <c r="D9" s="1" t="s">
        <v>592</v>
      </c>
    </row>
    <row r="10" customFormat="false" ht="15" hidden="false" customHeight="true" outlineLevel="0" collapsed="false">
      <c r="A10" s="1" t="s">
        <v>9</v>
      </c>
      <c r="B10" s="1" t="s">
        <v>593</v>
      </c>
      <c r="C10" s="1" t="s">
        <v>594</v>
      </c>
      <c r="D10" s="1" t="s">
        <v>595</v>
      </c>
    </row>
    <row r="11" customFormat="false" ht="15" hidden="false" customHeight="true" outlineLevel="0" collapsed="false">
      <c r="A11" s="1" t="s">
        <v>10</v>
      </c>
      <c r="B11" s="1" t="s">
        <v>596</v>
      </c>
      <c r="C11" s="1" t="s">
        <v>597</v>
      </c>
      <c r="D11" s="1" t="s">
        <v>598</v>
      </c>
    </row>
    <row r="12" customFormat="false" ht="15" hidden="false" customHeight="true" outlineLevel="0" collapsed="false">
      <c r="A12" s="1" t="s">
        <v>11</v>
      </c>
      <c r="B12" s="1" t="s">
        <v>599</v>
      </c>
      <c r="C12" s="1" t="s">
        <v>594</v>
      </c>
      <c r="D12" s="1" t="s">
        <v>600</v>
      </c>
    </row>
    <row r="13" customFormat="false" ht="15" hidden="false" customHeight="false" outlineLevel="0" collapsed="false">
      <c r="A13" s="1" t="s">
        <v>601</v>
      </c>
      <c r="B13" s="1" t="s">
        <v>602</v>
      </c>
      <c r="C13" s="1" t="s">
        <v>572</v>
      </c>
      <c r="D13" s="1" t="s">
        <v>603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2" t="s">
        <v>604</v>
      </c>
    </row>
    <row r="16" customFormat="false" ht="15" hidden="false" customHeight="true" outlineLevel="0" collapsed="false">
      <c r="A16" s="1" t="s">
        <v>605</v>
      </c>
    </row>
    <row r="17" customFormat="false" ht="15" hidden="false" customHeight="true" outlineLevel="0" collapsed="false">
      <c r="A17" s="1" t="s">
        <v>606</v>
      </c>
    </row>
    <row r="18" customFormat="false" ht="15" hidden="false" customHeight="true" outlineLevel="0" collapsed="false">
      <c r="A18" s="1" t="s">
        <v>607</v>
      </c>
    </row>
    <row r="19" customFormat="false" ht="15" hidden="false" customHeight="true" outlineLevel="0" collapsed="false">
      <c r="A19" s="1" t="s">
        <v>608</v>
      </c>
    </row>
    <row r="20" customFormat="false" ht="15" hidden="false" customHeight="true" outlineLevel="0" collapsed="false">
      <c r="A20" s="1" t="s">
        <v>609</v>
      </c>
    </row>
    <row r="21" customFormat="false" ht="15" hidden="false" customHeight="true" outlineLevel="0" collapsed="false">
      <c r="A21" s="1" t="s">
        <v>610</v>
      </c>
    </row>
    <row r="22" customFormat="false" ht="15" hidden="false" customHeight="true" outlineLevel="0" collapsed="false">
      <c r="A22" s="1" t="s">
        <v>611</v>
      </c>
    </row>
    <row r="23" customFormat="false" ht="15" hidden="false" customHeight="true" outlineLevel="0" collapsed="false">
      <c r="A23" s="1" t="s">
        <v>612</v>
      </c>
    </row>
    <row r="24" customFormat="false" ht="15" hidden="false" customHeight="true" outlineLevel="0" collapsed="false">
      <c r="A24" s="1" t="s">
        <v>613</v>
      </c>
    </row>
    <row r="25" customFormat="false" ht="15" hidden="false" customHeight="true" outlineLevel="0" collapsed="false">
      <c r="A25" s="1" t="s">
        <v>614</v>
      </c>
    </row>
    <row r="26" customFormat="false" ht="15" hidden="false" customHeight="true" outlineLevel="0" collapsed="false">
      <c r="A26" s="1" t="s">
        <v>615</v>
      </c>
    </row>
    <row r="27" customFormat="false" ht="15" hidden="false" customHeight="false" outlineLevel="0" collapsed="false">
      <c r="A27" s="1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2025-01-10T19:34:38Z</dcterms:created>
  <dc:creator>David Landholm</dc:creator>
  <dc:description/>
  <dc:language>en-US</dc:language>
  <cp:lastModifiedBy/>
  <dcterms:modified xsi:type="dcterms:W3CDTF">2026-10-29T08:56:16Z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